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180" firstSheet="5" activeTab="19"/>
  </bookViews>
  <sheets>
    <sheet name="301" sheetId="480" r:id="rId1"/>
    <sheet name="302" sheetId="482" r:id="rId2"/>
    <sheet name="303" sheetId="483" r:id="rId3"/>
    <sheet name="304" sheetId="485" r:id="rId4"/>
    <sheet name="305" sheetId="484" r:id="rId5"/>
    <sheet name="306" sheetId="486" r:id="rId6"/>
    <sheet name="307" sheetId="487" r:id="rId7"/>
    <sheet name="308" sheetId="488" r:id="rId8"/>
    <sheet name="309" sheetId="489" r:id="rId9"/>
    <sheet name="310" sheetId="490" r:id="rId10"/>
    <sheet name="311L" sheetId="477" r:id="rId11"/>
    <sheet name="312 L" sheetId="491" r:id="rId12"/>
    <sheet name="313 L" sheetId="492" r:id="rId13"/>
    <sheet name="314 L" sheetId="493" r:id="rId14"/>
    <sheet name="315 L" sheetId="494" r:id="rId15"/>
    <sheet name="316 L" sheetId="495" r:id="rId16"/>
    <sheet name="317 L" sheetId="496" r:id="rId17"/>
    <sheet name="318 L" sheetId="497" r:id="rId18"/>
    <sheet name="319" sheetId="498" r:id="rId19"/>
    <sheet name="320" sheetId="49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<sst xmlns="http://schemas.openxmlformats.org/spreadsheetml/2006/main" count="4534" uniqueCount="213">
  <si>
    <t>ORIGINAL</t>
  </si>
  <si>
    <t>TAX INVOICE</t>
  </si>
  <si>
    <t>SAASTHA ENGINEERING WORKS</t>
  </si>
  <si>
    <t>Manufacturing Traders of Machinery,Precision Job Works &amp; Industrial Products</t>
  </si>
  <si>
    <t>GST No.27AAMPE1857D2ZT  MSME NO.UDYAM-MH-33-0054711</t>
  </si>
  <si>
    <t>Office Address: Unit No.1,GalaNo.2 &amp; 3,NearITI Circle,Road No.28,Kailash Nagar,Wagle Estate,Thane - 400 604,State- Maharashtra</t>
  </si>
  <si>
    <t>Email (1):saastha01@gmail.com Email(2): saasthaenggworks2011@gmail.com Mob.9969434432 &amp; 9969142688</t>
  </si>
  <si>
    <t>Details of Receipient (Billed To)</t>
  </si>
  <si>
    <t>Original Copy of Invoice for Receipt                                            Duplicate &amp; Triplicate Supplier or Transporter</t>
  </si>
  <si>
    <t>M/s. Hawkins Cookers Ltd.,</t>
  </si>
  <si>
    <t>INVOICE NO.:</t>
  </si>
  <si>
    <t>SEW/301/2026-27</t>
  </si>
  <si>
    <t xml:space="preserve">Date: </t>
  </si>
  <si>
    <t>C-21,22 "U" Road,</t>
  </si>
  <si>
    <t>Our Challan No.:</t>
  </si>
  <si>
    <t>Wagle Industrial Estate,</t>
  </si>
  <si>
    <t>Your Challan No.:</t>
  </si>
  <si>
    <t>Thane - 400 604.</t>
  </si>
  <si>
    <t>Purchase Order No.:</t>
  </si>
  <si>
    <t>WT/PO/TRM/600317</t>
  </si>
  <si>
    <t xml:space="preserve">                                                                          </t>
  </si>
  <si>
    <t>Eway Bill No.:</t>
  </si>
  <si>
    <t>State: Maharashtra       State Code:27</t>
  </si>
  <si>
    <t>PLACE OF SUPPLY</t>
  </si>
  <si>
    <t xml:space="preserve">THANE                          </t>
  </si>
  <si>
    <t>STATE CODE:27</t>
  </si>
  <si>
    <t>Party's GST No.27AAACH1784M1Z9</t>
  </si>
  <si>
    <t>Transporter Mode</t>
  </si>
  <si>
    <t xml:space="preserve">VEHICLE NO.  </t>
  </si>
  <si>
    <t>BY HAND</t>
  </si>
  <si>
    <t>SR.NO.</t>
  </si>
  <si>
    <t>D E S C R I P T I O N</t>
  </si>
  <si>
    <t>HSN CODE</t>
  </si>
  <si>
    <t>UOM</t>
  </si>
  <si>
    <t>Quantity</t>
  </si>
  <si>
    <t>Rate</t>
  </si>
  <si>
    <t>Amount</t>
  </si>
  <si>
    <t xml:space="preserve"> </t>
  </si>
  <si>
    <t>BABY QUIK SS COOKER BODY FLANGE BLANKING TOOL-</t>
  </si>
  <si>
    <t>NOS</t>
  </si>
  <si>
    <t>PUNCH [3014621]</t>
  </si>
  <si>
    <t>DIE [3014622]</t>
  </si>
  <si>
    <t>WITHMETAL</t>
  </si>
  <si>
    <t>Total Quantity</t>
  </si>
  <si>
    <t>Total Amount Before Tax</t>
  </si>
  <si>
    <t>Bank Details:</t>
  </si>
  <si>
    <t>ADD:  CGST</t>
  </si>
  <si>
    <t>Bank Name: THE FEDERAL BANK LTD</t>
  </si>
  <si>
    <t>ADD:  SGST</t>
  </si>
  <si>
    <t>ACCOUNT NUMBER:17750200004019</t>
  </si>
  <si>
    <t>ADD:  IGST</t>
  </si>
  <si>
    <t>-</t>
  </si>
  <si>
    <t>BRANCH: LOUISWADI THANE</t>
  </si>
  <si>
    <t>Total Amount :GST</t>
  </si>
  <si>
    <t>IFSC CODE:FDRL0001775</t>
  </si>
  <si>
    <t>Total Amount After Tax</t>
  </si>
  <si>
    <t>GST Payable on reverse</t>
  </si>
  <si>
    <t>Total Invoice Amount in Words:  SEVENTY SEVEN THOUSAND TWO HUNDRED AND NINETY ONLY</t>
  </si>
  <si>
    <t>Round Off</t>
  </si>
  <si>
    <t xml:space="preserve"> E &amp; O.E</t>
  </si>
  <si>
    <t>Certified that the particulars given above are true and correct</t>
  </si>
  <si>
    <t>Terms &amp; Conditions:</t>
  </si>
  <si>
    <t>For SAASTHA ENGINEERING WORKS</t>
  </si>
  <si>
    <t>1.Payment requested within 15 DAYS</t>
  </si>
  <si>
    <t>2. Payment requested by crossed PAYEES A/C.CHEQUE/NEFT/RTGS only.</t>
  </si>
  <si>
    <t>3.Goods supplied to order will not be return back</t>
  </si>
  <si>
    <t>(Receivers Signature)</t>
  </si>
  <si>
    <t>(Proprietor)</t>
  </si>
  <si>
    <t>DUPLICATE</t>
  </si>
  <si>
    <t>TRIPLICATE</t>
  </si>
  <si>
    <t>SEW/302/2026-27</t>
  </si>
  <si>
    <t>WT/PO/CP/600782</t>
  </si>
  <si>
    <t>1.5L IC CONTURA BODY DRAW CUM STR CIRCLE LOCATOR</t>
  </si>
  <si>
    <t>(3017194-29372)</t>
  </si>
  <si>
    <t xml:space="preserve">3L IC CONTURA BODY DRAW CUM STR DIE CIRCLE </t>
  </si>
  <si>
    <t>LOCATOR (3017195-29373)</t>
  </si>
  <si>
    <t>Total Invoice Amount in Words:  NINETEEN THOUSAND AND EIGHT HUNDRED ONLY</t>
  </si>
  <si>
    <t>SEW/303/2026-27</t>
  </si>
  <si>
    <t xml:space="preserve">WT/PO/TRM/600312 </t>
  </si>
  <si>
    <t>1.2L STEAM KETTLE BODY TOP CURLING TOOL BASE PLATE</t>
  </si>
  <si>
    <t>[3017578]</t>
  </si>
  <si>
    <t>Total Invoice Amount in Words:  TWENTY FIVE THOUSAND NINE  HUNDRED AND SEVENTY TWO ONLY</t>
  </si>
  <si>
    <t>SEW/304/2026-27</t>
  </si>
  <si>
    <t xml:space="preserve">WT/PO/TRM/600307 </t>
  </si>
  <si>
    <t xml:space="preserve">QUIK SS CW BODY TO BRACKET PW TOP ELECTRODE </t>
  </si>
  <si>
    <t>CAGE MS [3017528]</t>
  </si>
  <si>
    <t>Total Invoice Amount in Words:  THIRTY FOUR THOUSAND NINE HUNDRED AND TWENTY EIGHT ONLY</t>
  </si>
  <si>
    <t>SEW/305/2026-27</t>
  </si>
  <si>
    <t>WT/PO/CP/600784</t>
  </si>
  <si>
    <t>2222 9329 6081</t>
  </si>
  <si>
    <t>1.2L STEAM KETTLE BODYCUM FLANGE FORMING TOOL</t>
  </si>
  <si>
    <t xml:space="preserve"> PUNCH  ASSY [3015239]</t>
  </si>
  <si>
    <t xml:space="preserve"> PUNCH [3015240]</t>
  </si>
  <si>
    <t xml:space="preserve">1.2L STEAM KETTLE BODYCUM FLANGE FORMING TOOL </t>
  </si>
  <si>
    <t>PRESSURE PLATE ASSY [3015238]</t>
  </si>
  <si>
    <t>DIE ASSY [3015237]</t>
  </si>
  <si>
    <t xml:space="preserve">1.5L KETTLE SS BODY BOTTOM FLANGE FORMING TOP </t>
  </si>
  <si>
    <t>ASSY [3008600]</t>
  </si>
  <si>
    <t xml:space="preserve">1.5L KETTLE SS BODY BOTTOM FLANGE FORMING BOTTOM </t>
  </si>
  <si>
    <t>ASSY [3008601]</t>
  </si>
  <si>
    <t xml:space="preserve">1.2L STEAM KETTLE BODY CUM FLANGE FORMING TOOL </t>
  </si>
  <si>
    <t>DIE [3017382]</t>
  </si>
  <si>
    <t>Total Invoice Amount in Words:  THREE LAKH NINETY NINE THOUSAND NINE  HUNDRED AND NINETY ONE ONLY</t>
  </si>
  <si>
    <t>SEW/306/2026-27</t>
  </si>
  <si>
    <t>WT/PO/CP/600785</t>
  </si>
  <si>
    <t>2622 9330 5558</t>
  </si>
  <si>
    <t>MH 04 JQ 4172</t>
  </si>
  <si>
    <t>1.4L KETTLE LID CUP DRAW PRESSURE PLATE ASSY</t>
  </si>
  <si>
    <t>(3017393-29503)</t>
  </si>
  <si>
    <t xml:space="preserve">1.4L KETTLE LID CUP DRAW DIE CI + AMPCO ASSY </t>
  </si>
  <si>
    <t>(3017394-29504)</t>
  </si>
  <si>
    <t>1.4L KETTLE LID CUP DRAW PUNCH ASSY (3017395-29505)</t>
  </si>
  <si>
    <t>1.4L KETTLE LID RIM ID FLANGE TRIMMING MANDREL</t>
  </si>
  <si>
    <t>(3017397-29507)</t>
  </si>
  <si>
    <t xml:space="preserve">1.4L KETTLE ELECTRONIC PARTS ASSY FIXTURE </t>
  </si>
  <si>
    <t>(3017398-29508)</t>
  </si>
  <si>
    <t xml:space="preserve">1.4L KETTLE LID RIM 1ST DRAW TOOL DIE SET TYPE DIE D2 </t>
  </si>
  <si>
    <t>K110 (3017399-29509)</t>
  </si>
  <si>
    <t xml:space="preserve">1.4L KETTLE LID RIM 1ST DRAW TOOL DIE SET TYPE </t>
  </si>
  <si>
    <t>PRESSURE PLATE D2 K110 (3017400-29510)</t>
  </si>
  <si>
    <t>PUNCH D2 K110 (3017401-29511)</t>
  </si>
  <si>
    <t>Total Invoice Amount in Words:  TWO LAKH FORTY THREE THOUSAND SEVEN HUNDRED AND SIXTY FOUR ONLY</t>
  </si>
  <si>
    <t>SEW/307/2026-27</t>
  </si>
  <si>
    <t>WT/PO/TRM/600320</t>
  </si>
  <si>
    <t>STD QUIK SS COOKER BODY SPINNING LIPPING MANDREL</t>
  </si>
  <si>
    <t>MAIN ROLLER [3017586]</t>
  </si>
  <si>
    <t>Total Invoice Amount in Words:  THIRTY FIVE THOUSAND AND FOUR HUNDRED ONLY</t>
  </si>
  <si>
    <t>SEW/308/2026-27</t>
  </si>
  <si>
    <t xml:space="preserve">WT/PO/CP/600779  </t>
  </si>
  <si>
    <t xml:space="preserve">280T INCREDIBLE MACHINE ADAPTOR 390 Lg  </t>
  </si>
  <si>
    <t>[3017506-29567]</t>
  </si>
  <si>
    <t>Total Invoice Amount in Words:  TWENTY NINE THOUSAND ONE HUNDRED AND SEVENTY ONLY</t>
  </si>
  <si>
    <t>SEW/309/2026-27</t>
  </si>
  <si>
    <t xml:space="preserve">1.4L KETTLE LID RIM ID FLANGE TRIMMING MANDREL </t>
  </si>
  <si>
    <t>SCREW TIGHTENING TYPE (3017396-29506)</t>
  </si>
  <si>
    <t>Total Invoice Amount in Words:  EIGHTEEN THOUSAND FIVE HUNDRED AND TWENTY SIX ONLY</t>
  </si>
  <si>
    <t>SEW/310/2026-27</t>
  </si>
  <si>
    <t>WT/PO/CP/600786</t>
  </si>
  <si>
    <t>2622 9407 9706</t>
  </si>
  <si>
    <t>3.5L NS TP DK BODY MASKING FIXTURE FOR INSIDE SAND BLASTING (3010273-29376,29377,29378,29379)</t>
  </si>
  <si>
    <t xml:space="preserve">2.5L NS TP DK BODY MASKING FIXTURE FOR INSIDE SAND BLASTING (3005660-29380) </t>
  </si>
  <si>
    <t>2.5L NS TP DK BODY MASKING FIXTURE FOR INSIDE NS COATING (3005661-29381)</t>
  </si>
  <si>
    <t>26CM NS TP PRO FLAT TAVA CIRCLE MASKING FIXTURE FOR SAND BLASTING (3012168-29382)</t>
  </si>
  <si>
    <t>1.25L NS TP APPACHATTY BODY MASKING FIXTURE FOR INSIDE SAND BLASTING (3008450-29383,29384,29385, 29386,  29387,29388,29389,29390,29391,29392</t>
  </si>
  <si>
    <t>26cm NS TP FP BODY MASKING FIXTURE FOR INSIDE SAND BLASTING (3010289-29393,29394,29395,29396)</t>
  </si>
  <si>
    <t>18cm NS TP FP BODY MASKING FIXTURE FOR INSIDE SAND BLASTING (3010296-29397,29398,29399,29400)</t>
  </si>
  <si>
    <t>1.5L NS TP DK BODY MASKING FIXTURE FOR INSIDE SAND BLASTING (3009740-29401,29402)</t>
  </si>
  <si>
    <t>24CM NS CR TP FP BODY MASKING FIXTURE FOR INSIDE SAND BLASTING (3002937-29403)</t>
  </si>
  <si>
    <t>1.25L BABY CASSEROLE ROUND BODY MASKING FIXTURE FOR INSIDE SAND BLASTING (3008338-29404,29405,29406,29407,29408,29409,29410,29411,29412)</t>
  </si>
  <si>
    <t>Total Invoice Amount in Words:  THREE LAKH THIRTY THOUSAND EIGHT HUNDRED AND SIXTYSIX ONLY</t>
  </si>
  <si>
    <t>SEW/311/2026-27</t>
  </si>
  <si>
    <t>WT/OGC/TR/260361</t>
  </si>
  <si>
    <t>Service Order No.:</t>
  </si>
  <si>
    <t>WT/SO/2602597</t>
  </si>
  <si>
    <t xml:space="preserve">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</si>
  <si>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</si>
  <si>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1.2L STEAM KETTLE BODY FORMING TOOL-PUNCH FOR</t>
  </si>
  <si>
    <t xml:space="preserve"> HARD CNC TR &amp; amp POL</t>
  </si>
  <si>
    <t>LABOUR JOB</t>
  </si>
  <si>
    <t>Total Invoice Amount in Words:- FOURTEEN THOUSAND ONE HUNDRED AND SIXTEEN ONLY</t>
  </si>
  <si>
    <t>1.Payment requested within 40 DAYS</t>
  </si>
  <si>
    <t>SEW/312/2026-27</t>
  </si>
  <si>
    <t>WT/OGC/TR/260900</t>
  </si>
  <si>
    <t>WT/SO/2602132</t>
  </si>
  <si>
    <t>IC PLATE COMBINE FITTING TOOL BOTTOM PUNCH HOLDER</t>
  </si>
  <si>
    <t>TR &amp; amp GR (TB)</t>
  </si>
  <si>
    <t>Total Invoice Amount in Words:- SIX THOUSAND TWO HUNDRED AND EIGHTY SEVEN ONLY</t>
  </si>
  <si>
    <t>SEW/313/2026-27</t>
  </si>
  <si>
    <t>WT/OGC/TR/261166</t>
  </si>
  <si>
    <t>WT/SO/2602876</t>
  </si>
  <si>
    <t>QSF22 BODY BOTTOM FLATTENING CUM DISHING TOOL-</t>
  </si>
  <si>
    <t>PUNCH FOR HARD CNC TR &amp;amp POL</t>
  </si>
  <si>
    <t>Total Invoice Amount in Words:- FIVE THOUSAND AND NINE HUNDRED ONLY</t>
  </si>
  <si>
    <t>SEW/314/2026-27</t>
  </si>
  <si>
    <t>WT/OGC/TR/261194</t>
  </si>
  <si>
    <t>WT/SO/2602878</t>
  </si>
  <si>
    <t>5L TP CL COOKER BODY SPINNING LIPPING MANDREL-MAIN</t>
  </si>
  <si>
    <t>ROLLER FOR HARD CNC TR &amp;amp CG</t>
  </si>
  <si>
    <t>Total Invoice Amount in Words:- SEVEN THOUSAND SIX HUNDRED AND SEVENTY ONLY</t>
  </si>
  <si>
    <t>SEW/315/2026-27</t>
  </si>
  <si>
    <t>WT/OGC/TR/261177</t>
  </si>
  <si>
    <t>WT/SO/2602891</t>
  </si>
  <si>
    <t xml:space="preserve">TP COOKER BODY AUTO TRIMMING CUTTER FOR REDSON </t>
  </si>
  <si>
    <t>MACHINE-CUTTER FOR HARD CNC TR &amp; amp TB GR</t>
  </si>
  <si>
    <t>Total Invoice Amount in Words:- FOUR THOUSAND SEVEN HUNDRED AND TWENTY ONLY</t>
  </si>
  <si>
    <t>SEW/316/2026-27</t>
  </si>
  <si>
    <t>WT/OGC/TR/261186</t>
  </si>
  <si>
    <t>WT/SO/2602877</t>
  </si>
  <si>
    <t>5L TP PRO DEEP KADHAI BODY FLANGE FLATTENING TOOL-</t>
  </si>
  <si>
    <t>DIE ASSY FOR CNC TR &amp;amp POL</t>
  </si>
  <si>
    <t>Total Invoice Amount in Words:- EIGHTY  THOUSAND EIGHT HUNDRED AND FIFTY ONLY</t>
  </si>
  <si>
    <t>SEW/317/2026-27</t>
  </si>
  <si>
    <t>WT/OGC/TR/261199</t>
  </si>
  <si>
    <t>WT/SO/2602879</t>
  </si>
  <si>
    <t>STD SS BODY BOTTOM FLATTENING TOOL-TOOL FOR HARD</t>
  </si>
  <si>
    <t>CNC TR &amp; amp POL</t>
  </si>
  <si>
    <t>Total Invoice Amount in Words:- TEN  THOUSAND SIX HUNDRED AND TWENTY ONLY</t>
  </si>
  <si>
    <t>SEW/318/2026-27</t>
  </si>
  <si>
    <t>WT/OGC/TR/260899</t>
  </si>
  <si>
    <t>WT/SO/2602875</t>
  </si>
  <si>
    <t>JB</t>
  </si>
  <si>
    <t>SEW/319/2026-27</t>
  </si>
  <si>
    <t>WT/PO/TRM/600323</t>
  </si>
  <si>
    <t>IS SS LID VTH &amp; SVH HOLE PIERCING TOOL LOCATING PIN</t>
  </si>
  <si>
    <t>[3017630]</t>
  </si>
  <si>
    <t>Total Invoice Amount in Words:  FOUR THOUSAND SEVEN HUNDRED AND TWENTY ONLY</t>
  </si>
  <si>
    <t>SEW/320/2026-27</t>
  </si>
  <si>
    <t>abc</t>
  </si>
  <si>
    <t>29/09/2026</t>
  </si>
  <si>
    <t xml:space="preserve">WT/PO/CP/600799 </t>
  </si>
  <si>
    <t xml:space="preserve">MAIN ROLLER HARD FOR RIGHT ANGLE MACHINE DIA </t>
  </si>
  <si>
    <t>152 X 50MM [3017288 - 29586 AND 29587]</t>
  </si>
  <si>
    <t>Total Invoice Amount in Words:  TWENTY EIGHT THOUSAND FIVE HUNDRED AND FIFTY SIX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</si>
</sst>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[$-14009]dd/mm/yyyy;@"/>
  </numFmts>
  <fonts count="4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rgb="FF000000"/>
      <name val="Segoe UI"/>
      <charset val="134"/>
    </font>
    <font>
      <sz val="10"/>
      <name val="Arial"/>
      <charset val="134"/>
    </font>
    <font>
      <b/>
      <sz val="1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color rgb="FF000000"/>
      <name val="Segoe UI"/>
      <charset val="134"/>
    </font>
    <font>
      <sz val="10"/>
      <color rgb="FF000000"/>
      <name val="Segoe UI"/>
      <charset val="134"/>
    </font>
    <font>
      <sz val="8"/>
      <color theme="1"/>
      <name val="Segoe UI"/>
      <charset val="134"/>
    </font>
    <font>
      <b/>
      <u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3" borderId="4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8" applyNumberFormat="0" applyFill="0" applyAlignment="0" applyProtection="0">
      <alignment vertical="center"/>
    </xf>
    <xf numFmtId="0" fontId="29" fillId="0" borderId="48" applyNumberFormat="0" applyFill="0" applyAlignment="0" applyProtection="0">
      <alignment vertical="center"/>
    </xf>
    <xf numFmtId="0" fontId="30" fillId="0" borderId="4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50" applyNumberFormat="0" applyAlignment="0" applyProtection="0">
      <alignment vertical="center"/>
    </xf>
    <xf numFmtId="0" fontId="32" fillId="5" borderId="51" applyNumberFormat="0" applyAlignment="0" applyProtection="0">
      <alignment vertical="center"/>
    </xf>
    <xf numFmtId="0" fontId="33" fillId="5" borderId="50" applyNumberFormat="0" applyAlignment="0" applyProtection="0">
      <alignment vertical="center"/>
    </xf>
    <xf numFmtId="0" fontId="34" fillId="6" borderId="52" applyNumberFormat="0" applyAlignment="0" applyProtection="0">
      <alignment vertical="center"/>
    </xf>
    <xf numFmtId="0" fontId="35" fillId="0" borderId="53" applyNumberFormat="0" applyFill="0" applyAlignment="0" applyProtection="0">
      <alignment vertical="center"/>
    </xf>
    <xf numFmtId="0" fontId="36" fillId="0" borderId="54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</cellStyleXfs>
  <cellXfs count="154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4" fillId="0" borderId="20" xfId="0" applyFont="1" applyBorder="1" applyAlignment="1">
      <alignment horizontal="left" wrapText="1"/>
    </xf>
    <xf numFmtId="0" fontId="4" fillId="0" borderId="21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5" fillId="0" borderId="18" xfId="0" applyFont="1" applyBorder="1"/>
    <xf numFmtId="0" fontId="6" fillId="0" borderId="19" xfId="0" applyFont="1" applyBorder="1"/>
    <xf numFmtId="0" fontId="0" fillId="0" borderId="19" xfId="0" applyBorder="1" applyAlignment="1">
      <alignment horizontal="center"/>
    </xf>
    <xf numFmtId="0" fontId="6" fillId="0" borderId="20" xfId="0" applyFont="1" applyBorder="1" applyAlignment="1">
      <alignment horizontal="left"/>
    </xf>
    <xf numFmtId="178" fontId="0" fillId="0" borderId="22" xfId="0" applyNumberFormat="1" applyBorder="1" applyAlignment="1">
      <alignment horizontal="left"/>
    </xf>
    <xf numFmtId="0" fontId="7" fillId="0" borderId="19" xfId="0" applyFont="1" applyBorder="1"/>
    <xf numFmtId="0" fontId="6" fillId="0" borderId="20" xfId="0" applyFont="1" applyBorder="1"/>
    <xf numFmtId="0" fontId="8" fillId="0" borderId="19" xfId="0" applyFont="1" applyBorder="1"/>
    <xf numFmtId="0" fontId="9" fillId="0" borderId="0" xfId="0" applyFont="1" applyAlignment="1">
      <alignment horizontal="left"/>
    </xf>
    <xf numFmtId="0" fontId="10" fillId="0" borderId="23" xfId="0" applyFont="1" applyBorder="1"/>
    <xf numFmtId="0" fontId="6" fillId="0" borderId="18" xfId="0" applyFont="1" applyBorder="1"/>
    <xf numFmtId="0" fontId="6" fillId="0" borderId="22" xfId="0" applyFont="1" applyBorder="1" applyAlignment="1">
      <alignment horizontal="left"/>
    </xf>
    <xf numFmtId="0" fontId="6" fillId="0" borderId="24" xfId="0" applyFont="1" applyBorder="1"/>
    <xf numFmtId="0" fontId="6" fillId="0" borderId="25" xfId="0" applyFont="1" applyBorder="1"/>
    <xf numFmtId="0" fontId="6" fillId="0" borderId="26" xfId="0" applyFont="1" applyBorder="1"/>
    <xf numFmtId="0" fontId="0" fillId="0" borderId="27" xfId="0" applyBorder="1"/>
    <xf numFmtId="0" fontId="0" fillId="0" borderId="8" xfId="0" applyBorder="1"/>
    <xf numFmtId="0" fontId="0" fillId="0" borderId="9" xfId="0" applyBorder="1"/>
    <xf numFmtId="0" fontId="11" fillId="0" borderId="28" xfId="0" applyFont="1" applyBorder="1" applyAlignment="1">
      <alignment wrapText="1"/>
    </xf>
    <xf numFmtId="0" fontId="6" fillId="0" borderId="29" xfId="0" applyFont="1" applyBorder="1" applyAlignment="1">
      <alignment horizontal="center" vertical="center"/>
    </xf>
    <xf numFmtId="0" fontId="6" fillId="0" borderId="29" xfId="0" applyFont="1" applyBorder="1" applyAlignment="1">
      <alignment vertical="center"/>
    </xf>
    <xf numFmtId="0" fontId="6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6" fontId="0" fillId="0" borderId="33" xfId="1" applyFont="1" applyBorder="1" applyAlignment="1">
      <alignment horizontal="center" vertical="center"/>
    </xf>
    <xf numFmtId="176" fontId="0" fillId="0" borderId="34" xfId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0" borderId="19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/>
    </xf>
    <xf numFmtId="176" fontId="0" fillId="0" borderId="19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33" xfId="0" applyFont="1" applyBorder="1"/>
    <xf numFmtId="0" fontId="12" fillId="0" borderId="19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3" fillId="0" borderId="33" xfId="0" applyFont="1" applyBorder="1" applyAlignment="1">
      <alignment horizontal="center" vertical="center"/>
    </xf>
    <xf numFmtId="178" fontId="14" fillId="0" borderId="33" xfId="0" applyNumberFormat="1" applyFont="1" applyBorder="1" applyAlignment="1">
      <alignment horizontal="left"/>
    </xf>
    <xf numFmtId="0" fontId="14" fillId="0" borderId="19" xfId="0" applyFont="1" applyBorder="1"/>
    <xf numFmtId="0" fontId="0" fillId="0" borderId="20" xfId="0" applyBorder="1" applyAlignment="1">
      <alignment horizontal="center"/>
    </xf>
    <xf numFmtId="0" fontId="8" fillId="2" borderId="35" xfId="0" applyFont="1" applyFill="1" applyBorder="1" applyAlignment="1">
      <alignment horizontal="left" vertical="center" wrapText="1"/>
    </xf>
    <xf numFmtId="176" fontId="0" fillId="0" borderId="19" xfId="1" applyFont="1" applyBorder="1" applyAlignment="1">
      <alignment vertical="center"/>
    </xf>
    <xf numFmtId="176" fontId="0" fillId="0" borderId="34" xfId="1" applyFont="1" applyBorder="1"/>
    <xf numFmtId="176" fontId="0" fillId="0" borderId="19" xfId="1" applyFont="1" applyBorder="1"/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/>
    <xf numFmtId="0" fontId="0" fillId="0" borderId="5" xfId="0" applyBorder="1"/>
    <xf numFmtId="0" fontId="0" fillId="0" borderId="6" xfId="0" applyBorder="1"/>
    <xf numFmtId="0" fontId="0" fillId="0" borderId="39" xfId="0" applyBorder="1"/>
    <xf numFmtId="176" fontId="0" fillId="0" borderId="38" xfId="1" applyFont="1" applyBorder="1"/>
    <xf numFmtId="0" fontId="15" fillId="0" borderId="8" xfId="0" applyFont="1" applyBorder="1"/>
    <xf numFmtId="0" fontId="15" fillId="0" borderId="0" xfId="0" applyFont="1"/>
    <xf numFmtId="0" fontId="0" fillId="0" borderId="40" xfId="0" applyBorder="1"/>
    <xf numFmtId="9" fontId="0" fillId="0" borderId="19" xfId="0" applyNumberFormat="1" applyBorder="1"/>
    <xf numFmtId="0" fontId="6" fillId="0" borderId="8" xfId="0" applyFont="1" applyBorder="1"/>
    <xf numFmtId="0" fontId="6" fillId="0" borderId="0" xfId="0" applyFont="1"/>
    <xf numFmtId="0" fontId="0" fillId="0" borderId="38" xfId="0" applyBorder="1" applyAlignment="1">
      <alignment horizontal="right"/>
    </xf>
    <xf numFmtId="0" fontId="0" fillId="0" borderId="20" xfId="0" applyBorder="1" applyAlignment="1">
      <alignment horizontal="left"/>
    </xf>
    <xf numFmtId="0" fontId="0" fillId="0" borderId="37" xfId="0" applyBorder="1" applyAlignment="1">
      <alignment horizontal="left"/>
    </xf>
    <xf numFmtId="0" fontId="6" fillId="0" borderId="19" xfId="0" applyFont="1" applyBorder="1" applyAlignment="1">
      <alignment horizontal="left"/>
    </xf>
    <xf numFmtId="176" fontId="6" fillId="0" borderId="38" xfId="1" applyFont="1" applyBorder="1"/>
    <xf numFmtId="0" fontId="0" fillId="0" borderId="15" xfId="0" applyBorder="1"/>
    <xf numFmtId="0" fontId="0" fillId="0" borderId="16" xfId="0" applyBorder="1"/>
    <xf numFmtId="0" fontId="0" fillId="0" borderId="41" xfId="0" applyBorder="1"/>
    <xf numFmtId="0" fontId="0" fillId="0" borderId="19" xfId="0" applyBorder="1" applyAlignment="1">
      <alignment horizontal="left"/>
    </xf>
    <xf numFmtId="0" fontId="6" fillId="0" borderId="42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16" fillId="0" borderId="8" xfId="0" applyFont="1" applyBorder="1"/>
    <xf numFmtId="0" fontId="17" fillId="0" borderId="0" xfId="0" applyFont="1" applyAlignment="1">
      <alignment horizontal="right"/>
    </xf>
    <xf numFmtId="0" fontId="17" fillId="0" borderId="9" xfId="0" applyFont="1" applyBorder="1" applyAlignment="1">
      <alignment horizontal="right"/>
    </xf>
    <xf numFmtId="0" fontId="3" fillId="0" borderId="0" xfId="0" applyFont="1"/>
    <xf numFmtId="0" fontId="17" fillId="0" borderId="8" xfId="0" applyFont="1" applyBorder="1"/>
    <xf numFmtId="0" fontId="17" fillId="0" borderId="0" xfId="0" applyFont="1"/>
    <xf numFmtId="0" fontId="18" fillId="0" borderId="0" xfId="0" applyFont="1"/>
    <xf numFmtId="0" fontId="0" fillId="0" borderId="0" xfId="0" applyAlignment="1">
      <alignment horizontal="left"/>
    </xf>
    <xf numFmtId="0" fontId="19" fillId="0" borderId="8" xfId="0" applyFont="1" applyBorder="1"/>
    <xf numFmtId="0" fontId="19" fillId="0" borderId="0" xfId="0" applyFont="1"/>
    <xf numFmtId="0" fontId="19" fillId="0" borderId="0" xfId="0" applyFont="1" applyAlignment="1">
      <alignment horizontal="left"/>
    </xf>
    <xf numFmtId="0" fontId="0" fillId="0" borderId="10" xfId="0" applyBorder="1"/>
    <xf numFmtId="0" fontId="0" fillId="0" borderId="1" xfId="0" applyBorder="1"/>
    <xf numFmtId="0" fontId="6" fillId="0" borderId="1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8" fillId="0" borderId="19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19" fillId="0" borderId="19" xfId="0" applyFont="1" applyBorder="1"/>
    <xf numFmtId="0" fontId="20" fillId="0" borderId="19" xfId="0" applyFont="1" applyBorder="1"/>
    <xf numFmtId="0" fontId="6" fillId="0" borderId="23" xfId="0" applyFont="1" applyBorder="1"/>
    <xf numFmtId="178" fontId="0" fillId="0" borderId="17" xfId="0" applyNumberFormat="1" applyBorder="1"/>
    <xf numFmtId="0" fontId="6" fillId="0" borderId="45" xfId="0" applyFont="1" applyBorder="1" applyAlignment="1">
      <alignment wrapText="1"/>
    </xf>
    <xf numFmtId="0" fontId="6" fillId="0" borderId="28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3" xfId="0" applyBorder="1" applyAlignment="1">
      <alignment horizontal="center"/>
    </xf>
    <xf numFmtId="176" fontId="0" fillId="0" borderId="23" xfId="1" applyFont="1" applyBorder="1"/>
    <xf numFmtId="176" fontId="21" fillId="0" borderId="34" xfId="1" applyFont="1" applyBorder="1"/>
    <xf numFmtId="0" fontId="8" fillId="0" borderId="33" xfId="0" applyFont="1" applyBorder="1" applyAlignment="1">
      <alignment horizontal="left" vertical="center" wrapText="1"/>
    </xf>
    <xf numFmtId="178" fontId="19" fillId="0" borderId="33" xfId="0" applyNumberFormat="1" applyFont="1" applyBorder="1" applyAlignment="1">
      <alignment horizontal="left"/>
    </xf>
    <xf numFmtId="176" fontId="0" fillId="0" borderId="33" xfId="1" applyFont="1" applyBorder="1"/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3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46" xfId="0" applyFont="1" applyBorder="1" applyAlignment="1">
      <alignment horizontal="left" vertical="center" wrapText="1"/>
    </xf>
    <xf numFmtId="0" fontId="0" fillId="0" borderId="44" xfId="0" applyBorder="1" applyAlignment="1">
      <alignment horizontal="center"/>
    </xf>
    <xf numFmtId="0" fontId="0" fillId="0" borderId="26" xfId="0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wrapText="1"/>
    </xf>
    <xf numFmtId="0" fontId="8" fillId="0" borderId="33" xfId="0" applyFont="1" applyBorder="1" applyAlignment="1">
      <alignment vertical="top" wrapText="1"/>
    </xf>
    <xf numFmtId="178" fontId="14" fillId="0" borderId="33" xfId="0" applyNumberFormat="1" applyFont="1" applyBorder="1" applyAlignment="1">
      <alignment horizontal="left" wrapText="1"/>
    </xf>
    <xf numFmtId="0" fontId="14" fillId="0" borderId="19" xfId="0" applyFont="1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1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149"/>
  <sheetViews>
    <sheetView workbookViewId="0">
      <selection activeCell="B98" sqref="B98:H144"/>
    </sheetView>
  </sheetViews>
  <sheetFormatPr defaultColWidth="9" defaultRowHeight="15"/>
  <cols>
    <col min="1" max="1" width="0.552380952380952" customWidth="1"/>
    <col min="2" max="2" width="3.66666666666667" customWidth="1"/>
    <col min="3" max="3" width="38.8857142857143" customWidth="1"/>
    <col min="4" max="4" width="9.55238095238095" customWidth="1"/>
    <col min="5" max="5" width="7.88571428571429" customWidth="1"/>
    <col min="6" max="6" width="15.8857142857143" customWidth="1"/>
    <col min="7" max="7" width="11.8857142857143" customWidth="1"/>
    <col min="8" max="8" width="11.6666666666667" customWidth="1"/>
    <col min="9" max="9" width="0.666666666666667" customWidth="1"/>
  </cols>
  <sheetData>
    <row r="1" ht="15.75" spans="2:8">
      <c r="B1" s="1" t="s">
        <v>0</v>
      </c>
      <c r="C1" s="1"/>
      <c r="D1" s="1"/>
      <c r="E1" s="1"/>
      <c r="F1" s="1"/>
      <c r="G1" s="1"/>
      <c r="H1" s="1"/>
    </row>
    <row r="2" ht="21" spans="2:8">
      <c r="B2" s="2" t="s">
        <v>1</v>
      </c>
      <c r="C2" s="3"/>
      <c r="D2" s="3"/>
      <c r="E2" s="3"/>
      <c r="F2" s="3"/>
      <c r="G2" s="3"/>
      <c r="H2" s="4"/>
    </row>
    <row r="3" ht="28.5" spans="2:8">
      <c r="B3" s="5" t="s">
        <v>2</v>
      </c>
      <c r="C3" s="6"/>
      <c r="D3" s="6"/>
      <c r="E3" s="6"/>
      <c r="F3" s="6"/>
      <c r="G3" s="6"/>
      <c r="H3" s="7"/>
    </row>
    <row r="4" spans="2:8">
      <c r="B4" s="8" t="s">
        <v>3</v>
      </c>
      <c r="C4" s="9"/>
      <c r="D4" s="9"/>
      <c r="E4" s="9"/>
      <c r="F4" s="9"/>
      <c r="G4" s="9"/>
      <c r="H4" s="10"/>
    </row>
    <row r="5" ht="21.75" spans="2:8">
      <c r="B5" s="11" t="s">
        <v>4</v>
      </c>
      <c r="C5" s="12"/>
      <c r="D5" s="12"/>
      <c r="E5" s="12"/>
      <c r="F5" s="12"/>
      <c r="G5" s="12"/>
      <c r="H5" s="13"/>
    </row>
    <row r="6" spans="2:8">
      <c r="B6" s="14" t="s">
        <v>5</v>
      </c>
      <c r="C6" s="15"/>
      <c r="D6" s="15"/>
      <c r="E6" s="15"/>
      <c r="F6" s="15"/>
      <c r="G6" s="15"/>
      <c r="H6" s="16"/>
    </row>
    <row r="7" spans="2:8">
      <c r="B7" s="17" t="s">
        <v>6</v>
      </c>
      <c r="C7" s="18"/>
      <c r="D7" s="18"/>
      <c r="E7" s="18"/>
      <c r="F7" s="18"/>
      <c r="G7" s="18"/>
      <c r="H7" s="19"/>
    </row>
    <row r="8" ht="15.75" customHeight="1" spans="2:8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8">
      <c r="B9" s="25" t="s">
        <v>9</v>
      </c>
      <c r="C9" s="21"/>
      <c r="D9" s="26" t="s">
        <v>10</v>
      </c>
      <c r="E9" s="26"/>
      <c r="F9" s="27" t="s">
        <v>11</v>
      </c>
      <c r="G9" s="28" t="s">
        <v>12</v>
      </c>
      <c r="H9" s="29">
        <v>46288</v>
      </c>
    </row>
    <row r="10" spans="2:8">
      <c r="B10" s="20" t="s">
        <v>13</v>
      </c>
      <c r="C10" s="21"/>
      <c r="D10" s="26" t="s">
        <v>14</v>
      </c>
      <c r="E10" s="26"/>
      <c r="F10" s="27" t="s">
        <v>11</v>
      </c>
      <c r="G10" s="28" t="s">
        <v>12</v>
      </c>
      <c r="H10" s="29">
        <v>46288</v>
      </c>
    </row>
    <row r="11" spans="2:8">
      <c r="B11" s="20" t="s">
        <v>15</v>
      </c>
      <c r="C11" s="21"/>
      <c r="D11" s="26" t="s">
        <v>16</v>
      </c>
      <c r="E11" s="26"/>
      <c r="F11" s="30"/>
      <c r="G11" s="31" t="s">
        <v>12</v>
      </c>
      <c r="H11" s="29"/>
    </row>
    <row r="12" spans="2:8">
      <c r="B12" s="20" t="s">
        <v>17</v>
      </c>
      <c r="C12" s="21"/>
      <c r="D12" s="26" t="s">
        <v>18</v>
      </c>
      <c r="E12" s="26"/>
      <c r="F12" s="32" t="s">
        <v>19</v>
      </c>
      <c r="G12" s="31" t="s">
        <v>12</v>
      </c>
      <c r="H12" s="29">
        <v>46287</v>
      </c>
    </row>
    <row r="13" spans="2:8">
      <c r="B13" s="20" t="s">
        <v>20</v>
      </c>
      <c r="C13" s="21"/>
      <c r="D13" s="26" t="s">
        <v>21</v>
      </c>
      <c r="E13" s="26"/>
      <c r="F13" s="33"/>
      <c r="G13" s="34" t="s">
        <v>12</v>
      </c>
      <c r="H13" s="29"/>
    </row>
    <row r="14" spans="2:8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8">
      <c r="B15" s="37" t="s">
        <v>26</v>
      </c>
      <c r="C15" s="38"/>
      <c r="D15" s="38" t="s">
        <v>27</v>
      </c>
      <c r="E15" s="38"/>
      <c r="F15" s="38" t="s">
        <v>28</v>
      </c>
      <c r="G15" s="39" t="s">
        <v>29</v>
      </c>
      <c r="H15" s="40"/>
    </row>
    <row r="16" ht="3.75" customHeight="1" spans="2:8">
      <c r="B16" s="41"/>
      <c r="H16" s="42"/>
    </row>
    <row r="17" ht="39" spans="2:13">
      <c r="B17" s="43" t="s">
        <v>30</v>
      </c>
      <c r="C17" s="44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M17" t="s">
        <v>37</v>
      </c>
    </row>
    <row r="18" customHeight="1" spans="2:13">
      <c r="B18" s="47">
        <v>1</v>
      </c>
      <c r="C18" s="48" t="s">
        <v>38</v>
      </c>
      <c r="D18" s="49">
        <v>82073000</v>
      </c>
      <c r="E18" s="50" t="s">
        <v>39</v>
      </c>
      <c r="F18" s="51">
        <v>2</v>
      </c>
      <c r="G18" s="52">
        <v>13000</v>
      </c>
      <c r="H18" s="53">
        <f>SUM(F18*G18)</f>
        <v>26000</v>
      </c>
    </row>
    <row r="19" spans="2:13">
      <c r="B19" s="54"/>
      <c r="C19" s="55" t="s">
        <v>40</v>
      </c>
      <c r="D19" s="56"/>
      <c r="E19" s="50"/>
      <c r="F19" s="51"/>
      <c r="G19" s="57"/>
      <c r="H19" s="53"/>
    </row>
    <row r="20" customHeight="1" spans="2:13">
      <c r="B20" s="47">
        <v>2</v>
      </c>
      <c r="C20" s="133" t="s">
        <v>38</v>
      </c>
      <c r="D20" s="49">
        <v>82073000</v>
      </c>
      <c r="E20" s="50" t="s">
        <v>39</v>
      </c>
      <c r="F20" s="51">
        <v>2</v>
      </c>
      <c r="G20" s="57">
        <v>19750</v>
      </c>
      <c r="H20" s="53">
        <f>SUM(F20*G20)</f>
        <v>39500</v>
      </c>
      <c r="L20" s="59"/>
    </row>
    <row r="21" customHeight="1" spans="2:13">
      <c r="B21" s="54"/>
      <c r="C21" s="55" t="s">
        <v>41</v>
      </c>
      <c r="D21" s="56"/>
      <c r="E21" s="50"/>
      <c r="F21" s="51"/>
      <c r="G21" s="57"/>
      <c r="H21" s="53"/>
      <c r="L21" s="59"/>
    </row>
    <row r="22" spans="2:13">
      <c r="B22" s="62"/>
      <c r="C22" s="32"/>
      <c r="D22" s="58"/>
      <c r="E22" s="50"/>
      <c r="F22" s="51"/>
      <c r="G22" s="57"/>
      <c r="H22" s="53"/>
    </row>
    <row r="23" customHeight="1" spans="2:13">
      <c r="B23" s="62"/>
      <c r="C23" s="60"/>
      <c r="D23" s="56"/>
      <c r="E23" s="50"/>
      <c r="F23" s="51"/>
      <c r="G23" s="57"/>
      <c r="H23" s="53"/>
    </row>
    <row r="24" spans="2:13">
      <c r="B24" s="62"/>
      <c r="C24" s="32"/>
      <c r="D24" s="63"/>
      <c r="E24" s="50"/>
      <c r="F24" s="51"/>
      <c r="G24" s="57"/>
      <c r="H24" s="53"/>
    </row>
    <row r="25" spans="2:13">
      <c r="B25" s="62"/>
      <c r="C25" s="64"/>
      <c r="D25" s="63"/>
      <c r="E25" s="50"/>
      <c r="F25" s="51"/>
      <c r="G25" s="57"/>
      <c r="H25" s="53"/>
    </row>
    <row r="26" spans="2:13">
      <c r="B26" s="62"/>
      <c r="C26" s="32"/>
      <c r="D26" s="63"/>
      <c r="E26" s="50"/>
      <c r="F26" s="51"/>
      <c r="G26" s="57"/>
      <c r="H26" s="53"/>
    </row>
    <row r="27" spans="2:13">
      <c r="B27" s="62"/>
      <c r="C27" s="65"/>
      <c r="D27" s="27"/>
      <c r="E27" s="27"/>
      <c r="F27" s="66"/>
      <c r="G27" s="57"/>
      <c r="H27" s="53"/>
    </row>
    <row r="28" spans="2:13">
      <c r="B28" s="62"/>
      <c r="C28" s="32"/>
      <c r="D28" s="63"/>
      <c r="E28" s="50"/>
      <c r="F28" s="51"/>
      <c r="G28" s="57"/>
      <c r="H28" s="53"/>
    </row>
    <row r="29" spans="2:13">
      <c r="B29" s="62"/>
      <c r="C29" s="65"/>
      <c r="D29" s="27"/>
      <c r="E29" s="27"/>
      <c r="F29" s="66"/>
      <c r="G29" s="57"/>
      <c r="H29" s="53"/>
    </row>
    <row r="30" customHeight="1" spans="2:13">
      <c r="B30" s="62"/>
      <c r="C30" s="67"/>
      <c r="D30" s="63"/>
      <c r="E30" s="50"/>
      <c r="F30" s="51"/>
      <c r="G30" s="68"/>
      <c r="H30" s="69"/>
    </row>
    <row r="31" customHeight="1" spans="2:13">
      <c r="B31" s="20"/>
      <c r="C31" s="65"/>
      <c r="D31" s="21"/>
      <c r="E31" s="21"/>
      <c r="F31" s="66"/>
      <c r="G31" s="70"/>
      <c r="H31" s="69"/>
    </row>
    <row r="32" customHeight="1" spans="2:13">
      <c r="B32" s="62"/>
      <c r="C32" s="32"/>
      <c r="D32" s="63"/>
      <c r="E32" s="50"/>
      <c r="F32" s="51"/>
      <c r="G32" s="70"/>
      <c r="H32" s="69"/>
    </row>
    <row r="33" customHeight="1" spans="2:9">
      <c r="B33" s="20"/>
      <c r="C33" s="65"/>
      <c r="D33" s="21"/>
      <c r="E33" s="21"/>
      <c r="F33" s="66"/>
      <c r="G33" s="70"/>
      <c r="H33" s="69"/>
    </row>
    <row r="34" customHeight="1" spans="2:9">
      <c r="B34" s="71" t="s">
        <v>42</v>
      </c>
      <c r="C34" s="72"/>
      <c r="D34" s="66" t="s">
        <v>43</v>
      </c>
      <c r="E34" s="73"/>
      <c r="F34" s="27">
        <f>SUM(F18:F33)</f>
        <v>4</v>
      </c>
      <c r="G34" s="21"/>
      <c r="H34" s="74"/>
    </row>
    <row r="35" spans="2:9">
      <c r="B35" s="75"/>
      <c r="C35" s="76"/>
      <c r="D35" s="76"/>
      <c r="E35" s="77"/>
      <c r="F35" s="26" t="s">
        <v>44</v>
      </c>
      <c r="G35" s="26"/>
      <c r="H35" s="78">
        <f>SUM(H18:H34)</f>
        <v>65500</v>
      </c>
    </row>
    <row r="36" spans="2:9">
      <c r="B36" s="79" t="s">
        <v>45</v>
      </c>
      <c r="C36" s="80"/>
      <c r="E36" s="81"/>
      <c r="F36" s="21" t="s">
        <v>46</v>
      </c>
      <c r="G36" s="82">
        <v>0.09</v>
      </c>
      <c r="H36" s="78">
        <f>SUM(H35*G36)</f>
        <v>5895</v>
      </c>
    </row>
    <row r="37" spans="2:9">
      <c r="B37" s="83" t="s">
        <v>47</v>
      </c>
      <c r="C37" s="84"/>
      <c r="E37" s="81"/>
      <c r="F37" s="21" t="s">
        <v>48</v>
      </c>
      <c r="G37" s="82">
        <v>0.09</v>
      </c>
      <c r="H37" s="78">
        <f>SUM(H35*G37)</f>
        <v>5895</v>
      </c>
    </row>
    <row r="38" spans="2:9">
      <c r="B38" s="83" t="s">
        <v>49</v>
      </c>
      <c r="C38" s="84"/>
      <c r="E38" s="81"/>
      <c r="F38" s="21" t="s">
        <v>50</v>
      </c>
      <c r="G38" s="82">
        <v>0.18</v>
      </c>
      <c r="H38" s="85" t="s">
        <v>51</v>
      </c>
    </row>
    <row r="39" spans="2:9">
      <c r="B39" s="83" t="s">
        <v>52</v>
      </c>
      <c r="C39" s="84"/>
      <c r="E39" s="81"/>
      <c r="F39" s="86" t="s">
        <v>53</v>
      </c>
      <c r="G39" s="87"/>
      <c r="H39" s="78">
        <f>SUM(H36:H38)</f>
        <v>11790</v>
      </c>
    </row>
    <row r="40" spans="2:9">
      <c r="B40" s="83" t="s">
        <v>54</v>
      </c>
      <c r="C40" s="84"/>
      <c r="E40" s="81"/>
      <c r="F40" s="88" t="s">
        <v>55</v>
      </c>
      <c r="G40" s="88"/>
      <c r="H40" s="89">
        <f>SUM(H35+H39+H42)</f>
        <v>77290</v>
      </c>
    </row>
    <row r="41" spans="2:9">
      <c r="B41" s="90"/>
      <c r="C41" s="91"/>
      <c r="D41" s="91"/>
      <c r="E41" s="92"/>
      <c r="F41" s="93" t="s">
        <v>56</v>
      </c>
      <c r="G41" s="93"/>
      <c r="H41" s="74"/>
    </row>
    <row r="42" ht="29.4" customHeight="1" spans="2:9">
      <c r="B42" s="94" t="s">
        <v>57</v>
      </c>
      <c r="C42" s="95"/>
      <c r="D42" s="95"/>
      <c r="E42" s="96"/>
      <c r="F42" s="97" t="s">
        <v>58</v>
      </c>
      <c r="G42" s="98"/>
      <c r="H42" s="99"/>
    </row>
    <row r="43" ht="27.6" customHeight="1" spans="2:9">
      <c r="B43" s="100" t="s">
        <v>59</v>
      </c>
      <c r="C43" s="101"/>
      <c r="D43" s="101"/>
      <c r="E43" s="102" t="s">
        <v>60</v>
      </c>
      <c r="F43" s="102"/>
      <c r="G43" s="102"/>
      <c r="H43" s="103"/>
    </row>
    <row r="44" ht="18.75" spans="2:9">
      <c r="B44" s="104" t="s">
        <v>61</v>
      </c>
      <c r="E44" s="105" t="s">
        <v>62</v>
      </c>
      <c r="F44" s="105"/>
      <c r="G44" s="105"/>
      <c r="H44" s="106"/>
      <c r="I44" s="107"/>
    </row>
    <row r="45" ht="18.75" spans="2:9">
      <c r="B45" s="108" t="s">
        <v>63</v>
      </c>
      <c r="C45" s="109"/>
      <c r="D45" s="110"/>
      <c r="E45" s="110"/>
      <c r="F45" s="111"/>
      <c r="G45" s="111"/>
      <c r="H45" s="42"/>
    </row>
    <row r="46" spans="2:9">
      <c r="B46" s="112" t="s">
        <v>64</v>
      </c>
      <c r="C46" s="113"/>
      <c r="D46" s="113"/>
      <c r="E46" s="113"/>
      <c r="F46" s="114"/>
      <c r="G46" s="111"/>
      <c r="H46" s="42"/>
    </row>
    <row r="47" spans="2:9">
      <c r="B47" s="112" t="s">
        <v>65</v>
      </c>
      <c r="C47" s="113"/>
      <c r="D47" s="113"/>
      <c r="E47" s="113"/>
      <c r="F47" s="114"/>
      <c r="G47" s="111"/>
      <c r="H47" s="42"/>
    </row>
    <row r="48" spans="2:9">
      <c r="B48" s="41"/>
      <c r="F48" s="111"/>
      <c r="G48" s="111"/>
      <c r="H48" s="42"/>
    </row>
    <row r="49" ht="15.75" spans="2:24">
      <c r="B49" s="115" t="s">
        <v>66</v>
      </c>
      <c r="C49" s="116"/>
      <c r="D49" s="116"/>
      <c r="E49" s="116"/>
      <c r="F49" s="116"/>
      <c r="G49" s="116"/>
      <c r="H49" s="117" t="s">
        <v>67</v>
      </c>
    </row>
    <row r="50" spans="2:24">
      <c r="H50" s="118"/>
    </row>
    <row r="51" ht="15.75" customHeight="1" spans="2:24">
      <c r="B51" s="1" t="s">
        <v>68</v>
      </c>
      <c r="C51" s="1"/>
      <c r="D51" s="1"/>
      <c r="E51" s="1"/>
      <c r="F51" s="1"/>
      <c r="G51" s="1"/>
      <c r="H51" s="1"/>
    </row>
    <row r="52" ht="21" spans="2:24">
      <c r="B52" s="2" t="s">
        <v>1</v>
      </c>
      <c r="C52" s="3"/>
      <c r="D52" s="3"/>
      <c r="E52" s="3"/>
      <c r="F52" s="3"/>
      <c r="G52" s="3"/>
      <c r="H52" s="4"/>
    </row>
    <row r="53" ht="28.5" spans="2:24">
      <c r="B53" s="5" t="s">
        <v>2</v>
      </c>
      <c r="C53" s="6"/>
      <c r="D53" s="6"/>
      <c r="E53" s="6"/>
      <c r="F53" s="6"/>
      <c r="G53" s="6"/>
      <c r="H53" s="7"/>
    </row>
    <row r="54" spans="2:24">
      <c r="B54" s="8" t="s">
        <v>3</v>
      </c>
      <c r="C54" s="9"/>
      <c r="D54" s="9"/>
      <c r="E54" s="9"/>
      <c r="F54" s="9"/>
      <c r="G54" s="9"/>
      <c r="H54" s="10"/>
    </row>
    <row r="55" ht="21.75" spans="2:24">
      <c r="B55" s="11" t="s">
        <v>4</v>
      </c>
      <c r="C55" s="12"/>
      <c r="D55" s="12"/>
      <c r="E55" s="12"/>
      <c r="F55" s="12"/>
      <c r="G55" s="12"/>
      <c r="H55" s="13"/>
    </row>
    <row r="56" spans="2:24">
      <c r="B56" s="14" t="s">
        <v>5</v>
      </c>
      <c r="C56" s="15"/>
      <c r="D56" s="15"/>
      <c r="E56" s="15"/>
      <c r="F56" s="15"/>
      <c r="G56" s="15"/>
      <c r="H56" s="16"/>
    </row>
    <row r="57" spans="2:24">
      <c r="B57" s="17" t="s">
        <v>6</v>
      </c>
      <c r="C57" s="18"/>
      <c r="D57" s="18"/>
      <c r="E57" s="18"/>
      <c r="F57" s="18"/>
      <c r="G57" s="18"/>
      <c r="H57" s="19"/>
      <c r="X57" s="119"/>
    </row>
    <row r="58" ht="15.75" customHeight="1" spans="2:24">
      <c r="B58" s="20" t="s">
        <v>7</v>
      </c>
      <c r="C58" s="21"/>
      <c r="D58" s="22" t="s">
        <v>8</v>
      </c>
      <c r="E58" s="23"/>
      <c r="F58" s="23"/>
      <c r="G58" s="23"/>
      <c r="H58" s="24"/>
    </row>
    <row r="59" ht="21" spans="2:24">
      <c r="B59" s="25" t="s">
        <v>9</v>
      </c>
      <c r="C59" s="21"/>
      <c r="D59" s="26" t="s">
        <v>10</v>
      </c>
      <c r="E59" s="26"/>
      <c r="F59" s="27" t="s">
        <v>11</v>
      </c>
      <c r="G59" s="28" t="s">
        <v>12</v>
      </c>
      <c r="H59" s="29">
        <v>46288</v>
      </c>
    </row>
    <row r="60" spans="2:24">
      <c r="B60" s="20" t="s">
        <v>13</v>
      </c>
      <c r="C60" s="21"/>
      <c r="D60" s="26" t="s">
        <v>14</v>
      </c>
      <c r="E60" s="26"/>
      <c r="F60" s="27" t="s">
        <v>11</v>
      </c>
      <c r="G60" s="28" t="s">
        <v>12</v>
      </c>
      <c r="H60" s="29">
        <v>46288</v>
      </c>
    </row>
    <row r="61" spans="2:24">
      <c r="B61" s="20" t="s">
        <v>15</v>
      </c>
      <c r="C61" s="21"/>
      <c r="D61" s="26" t="s">
        <v>16</v>
      </c>
      <c r="E61" s="26"/>
      <c r="F61" s="30"/>
      <c r="G61" s="31" t="s">
        <v>12</v>
      </c>
      <c r="H61" s="29"/>
    </row>
    <row r="62" spans="2:24">
      <c r="B62" s="20" t="s">
        <v>17</v>
      </c>
      <c r="C62" s="21"/>
      <c r="D62" s="26" t="s">
        <v>18</v>
      </c>
      <c r="E62" s="26"/>
      <c r="F62" s="32" t="s">
        <v>19</v>
      </c>
      <c r="G62" s="31" t="s">
        <v>12</v>
      </c>
      <c r="H62" s="29">
        <v>46287</v>
      </c>
    </row>
    <row r="63" spans="2:24">
      <c r="B63" s="20" t="s">
        <v>20</v>
      </c>
      <c r="C63" s="21"/>
      <c r="D63" s="26" t="s">
        <v>21</v>
      </c>
      <c r="E63" s="26"/>
      <c r="F63" s="33"/>
      <c r="G63" s="34" t="s">
        <v>12</v>
      </c>
      <c r="H63" s="29"/>
    </row>
    <row r="64" spans="2:24">
      <c r="B64" s="35" t="s">
        <v>22</v>
      </c>
      <c r="C64" s="26"/>
      <c r="D64" s="26" t="s">
        <v>23</v>
      </c>
      <c r="E64" s="26"/>
      <c r="F64" s="21" t="s">
        <v>24</v>
      </c>
      <c r="G64" s="28" t="s">
        <v>25</v>
      </c>
      <c r="H64" s="36"/>
    </row>
    <row r="65" ht="15.75" spans="2:8">
      <c r="B65" s="37" t="s">
        <v>26</v>
      </c>
      <c r="C65" s="38"/>
      <c r="D65" s="38" t="s">
        <v>27</v>
      </c>
      <c r="E65" s="38"/>
      <c r="F65" s="38" t="s">
        <v>28</v>
      </c>
      <c r="G65" s="39" t="s">
        <v>29</v>
      </c>
      <c r="H65" s="40"/>
    </row>
    <row r="66" ht="4.5" customHeight="1" spans="2:8">
      <c r="B66" s="41"/>
      <c r="H66" s="42"/>
    </row>
    <row r="67" ht="39" spans="2:8">
      <c r="B67" s="43" t="s">
        <v>30</v>
      </c>
      <c r="C67" s="44" t="s">
        <v>31</v>
      </c>
      <c r="D67" s="45" t="s">
        <v>32</v>
      </c>
      <c r="E67" s="44" t="s">
        <v>33</v>
      </c>
      <c r="F67" s="44" t="s">
        <v>34</v>
      </c>
      <c r="G67" s="44" t="s">
        <v>35</v>
      </c>
      <c r="H67" s="46" t="s">
        <v>36</v>
      </c>
    </row>
    <row r="68" customHeight="1" spans="2:8">
      <c r="B68" s="47">
        <v>1</v>
      </c>
      <c r="C68" s="48" t="s">
        <v>38</v>
      </c>
      <c r="D68" s="49">
        <v>82073000</v>
      </c>
      <c r="E68" s="50" t="s">
        <v>39</v>
      </c>
      <c r="F68" s="51">
        <v>2</v>
      </c>
      <c r="G68" s="52">
        <v>13000</v>
      </c>
      <c r="H68" s="53">
        <f>SUM(F68*G68)</f>
        <v>26000</v>
      </c>
    </row>
    <row r="69" spans="2:8">
      <c r="B69" s="54"/>
      <c r="C69" s="55" t="s">
        <v>40</v>
      </c>
      <c r="D69" s="56"/>
      <c r="E69" s="50"/>
      <c r="F69" s="51"/>
      <c r="G69" s="57"/>
      <c r="H69" s="53"/>
    </row>
    <row r="70" customHeight="1" spans="2:8">
      <c r="B70" s="47">
        <v>2</v>
      </c>
      <c r="C70" s="133" t="s">
        <v>38</v>
      </c>
      <c r="D70" s="49">
        <v>82073000</v>
      </c>
      <c r="E70" s="50" t="s">
        <v>39</v>
      </c>
      <c r="F70" s="51">
        <v>2</v>
      </c>
      <c r="G70" s="57">
        <v>19750</v>
      </c>
      <c r="H70" s="53">
        <f>SUM(F70*G70)</f>
        <v>39500</v>
      </c>
    </row>
    <row r="71" spans="2:8">
      <c r="B71" s="54"/>
      <c r="C71" s="55" t="s">
        <v>41</v>
      </c>
      <c r="D71" s="56"/>
      <c r="E71" s="50"/>
      <c r="F71" s="51"/>
      <c r="G71" s="57"/>
      <c r="H71" s="53"/>
    </row>
    <row r="72" customHeight="1" spans="2:8">
      <c r="B72" s="62"/>
      <c r="C72" s="32"/>
      <c r="D72" s="58"/>
      <c r="E72" s="50"/>
      <c r="F72" s="51"/>
      <c r="G72" s="57"/>
      <c r="H72" s="53"/>
    </row>
    <row r="73" spans="2:8">
      <c r="B73" s="62"/>
      <c r="C73" s="60"/>
      <c r="D73" s="56"/>
      <c r="E73" s="50"/>
      <c r="F73" s="51"/>
      <c r="G73" s="57"/>
      <c r="H73" s="53"/>
    </row>
    <row r="74" spans="2:8">
      <c r="B74" s="62"/>
      <c r="C74" s="32"/>
      <c r="D74" s="63"/>
      <c r="E74" s="50"/>
      <c r="F74" s="51"/>
      <c r="G74" s="57"/>
      <c r="H74" s="53"/>
    </row>
    <row r="75" spans="2:8">
      <c r="B75" s="62"/>
      <c r="C75" s="64"/>
      <c r="D75" s="63"/>
      <c r="E75" s="50"/>
      <c r="F75" s="51"/>
      <c r="G75" s="57"/>
      <c r="H75" s="53"/>
    </row>
    <row r="76" spans="2:8">
      <c r="B76" s="62"/>
      <c r="C76" s="32"/>
      <c r="D76" s="63"/>
      <c r="E76" s="50"/>
      <c r="F76" s="51"/>
      <c r="G76" s="57"/>
      <c r="H76" s="53"/>
    </row>
    <row r="77" spans="2:8">
      <c r="B77" s="62"/>
      <c r="C77" s="65"/>
      <c r="D77" s="27"/>
      <c r="E77" s="27"/>
      <c r="F77" s="66"/>
      <c r="G77" s="57"/>
      <c r="H77" s="53"/>
    </row>
    <row r="78" spans="2:8">
      <c r="B78" s="62"/>
      <c r="C78" s="32"/>
      <c r="D78" s="63"/>
      <c r="E78" s="50"/>
      <c r="F78" s="51"/>
      <c r="G78" s="57"/>
      <c r="H78" s="53"/>
    </row>
    <row r="79" spans="2:8">
      <c r="B79" s="62"/>
      <c r="C79" s="65"/>
      <c r="D79" s="27"/>
      <c r="E79" s="27"/>
      <c r="F79" s="66"/>
      <c r="G79" s="57"/>
      <c r="H79" s="53"/>
    </row>
    <row r="80" spans="2:8">
      <c r="B80" s="62"/>
      <c r="C80" s="67"/>
      <c r="D80" s="63"/>
      <c r="E80" s="50"/>
      <c r="F80" s="51"/>
      <c r="G80" s="68"/>
      <c r="H80" s="69"/>
    </row>
    <row r="81" spans="2:9">
      <c r="B81" s="20"/>
      <c r="C81" s="65"/>
      <c r="D81" s="21"/>
      <c r="E81" s="21"/>
      <c r="F81" s="66"/>
      <c r="G81" s="70"/>
      <c r="H81" s="69"/>
    </row>
    <row r="82" spans="2:9">
      <c r="B82" s="62"/>
      <c r="C82" s="32"/>
      <c r="D82" s="63"/>
      <c r="E82" s="50"/>
      <c r="F82" s="51"/>
      <c r="G82" s="70"/>
      <c r="H82" s="69"/>
    </row>
    <row r="83" spans="2:9">
      <c r="B83" s="20"/>
      <c r="C83" s="65"/>
      <c r="D83" s="21"/>
      <c r="E83" s="21"/>
      <c r="F83" s="66"/>
      <c r="G83" s="70"/>
      <c r="H83" s="69"/>
    </row>
    <row r="84" ht="21" spans="2:9">
      <c r="B84" s="71" t="s">
        <v>42</v>
      </c>
      <c r="C84" s="72"/>
      <c r="D84" s="66" t="s">
        <v>43</v>
      </c>
      <c r="E84" s="73"/>
      <c r="F84" s="27">
        <f>SUM(F68:F83)</f>
        <v>4</v>
      </c>
      <c r="G84" s="21"/>
      <c r="H84" s="74"/>
    </row>
    <row r="85" spans="2:9">
      <c r="B85" s="75"/>
      <c r="C85" s="76"/>
      <c r="D85" s="76"/>
      <c r="E85" s="77"/>
      <c r="F85" s="26" t="s">
        <v>44</v>
      </c>
      <c r="G85" s="26"/>
      <c r="H85" s="78">
        <f>SUM(H68:H84)</f>
        <v>65500</v>
      </c>
    </row>
    <row r="86" spans="2:9">
      <c r="B86" s="79" t="s">
        <v>45</v>
      </c>
      <c r="C86" s="80"/>
      <c r="E86" s="81"/>
      <c r="F86" s="21" t="s">
        <v>46</v>
      </c>
      <c r="G86" s="82">
        <v>0.09</v>
      </c>
      <c r="H86" s="78">
        <f>SUM(H85*G86)</f>
        <v>5895</v>
      </c>
    </row>
    <row r="87" spans="2:9">
      <c r="B87" s="83" t="s">
        <v>47</v>
      </c>
      <c r="C87" s="84"/>
      <c r="E87" s="81"/>
      <c r="F87" s="21" t="s">
        <v>48</v>
      </c>
      <c r="G87" s="82">
        <v>0.09</v>
      </c>
      <c r="H87" s="78">
        <f>SUM(H85*G87)</f>
        <v>5895</v>
      </c>
    </row>
    <row r="88" spans="2:9">
      <c r="B88" s="83" t="s">
        <v>49</v>
      </c>
      <c r="C88" s="84"/>
      <c r="E88" s="81"/>
      <c r="F88" s="21" t="s">
        <v>50</v>
      </c>
      <c r="G88" s="82">
        <v>0.18</v>
      </c>
      <c r="H88" s="85" t="s">
        <v>51</v>
      </c>
    </row>
    <row r="89" spans="2:9">
      <c r="B89" s="83" t="s">
        <v>52</v>
      </c>
      <c r="C89" s="84"/>
      <c r="E89" s="81"/>
      <c r="F89" s="86" t="s">
        <v>53</v>
      </c>
      <c r="G89" s="87"/>
      <c r="H89" s="78">
        <f>SUM(H86:H88)</f>
        <v>11790</v>
      </c>
    </row>
    <row r="90" customHeight="1" spans="2:9">
      <c r="B90" s="83" t="s">
        <v>54</v>
      </c>
      <c r="C90" s="84"/>
      <c r="E90" s="81"/>
      <c r="F90" s="88" t="s">
        <v>55</v>
      </c>
      <c r="G90" s="88"/>
      <c r="H90" s="89">
        <f>SUM(H85+H89+H92)</f>
        <v>77290</v>
      </c>
    </row>
    <row r="91" spans="2:9">
      <c r="B91" s="90"/>
      <c r="C91" s="91"/>
      <c r="D91" s="91"/>
      <c r="E91" s="92"/>
      <c r="F91" s="93" t="s">
        <v>56</v>
      </c>
      <c r="G91" s="93"/>
      <c r="H91" s="74"/>
      <c r="I91" s="59"/>
    </row>
    <row r="92" ht="29.4" customHeight="1" spans="2:9">
      <c r="B92" s="94" t="s">
        <v>57</v>
      </c>
      <c r="C92" s="95"/>
      <c r="D92" s="95"/>
      <c r="E92" s="96"/>
      <c r="F92" s="97" t="s">
        <v>58</v>
      </c>
      <c r="G92" s="98"/>
      <c r="H92" s="99"/>
    </row>
    <row r="93" ht="29.25" customHeight="1" spans="2:9">
      <c r="B93" s="100" t="s">
        <v>59</v>
      </c>
      <c r="C93" s="101"/>
      <c r="D93" s="101"/>
      <c r="E93" s="102" t="s">
        <v>60</v>
      </c>
      <c r="F93" s="102"/>
      <c r="G93" s="102"/>
      <c r="H93" s="103"/>
    </row>
    <row r="94" ht="18.75" spans="2:9">
      <c r="B94" s="104" t="s">
        <v>61</v>
      </c>
      <c r="E94" s="105" t="s">
        <v>62</v>
      </c>
      <c r="F94" s="105"/>
      <c r="G94" s="105"/>
      <c r="H94" s="106"/>
    </row>
    <row r="95" ht="18.75" spans="2:9">
      <c r="B95" s="108" t="s">
        <v>63</v>
      </c>
      <c r="C95" s="109"/>
      <c r="D95" s="110"/>
      <c r="E95" s="110"/>
      <c r="F95" s="111"/>
      <c r="G95" s="111"/>
      <c r="H95" s="42"/>
    </row>
    <row r="96" spans="2:9">
      <c r="B96" s="112" t="s">
        <v>64</v>
      </c>
      <c r="C96" s="113"/>
      <c r="D96" s="113"/>
      <c r="E96" s="113"/>
      <c r="F96" s="114"/>
      <c r="G96" s="111"/>
      <c r="H96" s="42"/>
    </row>
    <row r="97" spans="2:8">
      <c r="B97" s="112" t="s">
        <v>65</v>
      </c>
      <c r="C97" s="113"/>
      <c r="D97" s="113"/>
      <c r="E97" s="113"/>
      <c r="F97" s="114"/>
      <c r="G97" s="111"/>
      <c r="H97" s="42"/>
    </row>
    <row r="98" spans="2:8">
      <c r="B98" s="41"/>
      <c r="F98" s="111"/>
      <c r="G98" s="111"/>
      <c r="H98" s="42"/>
    </row>
    <row r="99" ht="15.75" spans="2:8">
      <c r="B99" s="115" t="s">
        <v>66</v>
      </c>
      <c r="C99" s="116"/>
      <c r="D99" s="116"/>
      <c r="E99" s="116"/>
      <c r="F99" s="116"/>
      <c r="G99" s="116"/>
      <c r="H99" s="117" t="s">
        <v>67</v>
      </c>
    </row>
    <row r="100" spans="2:8">
      <c r="H100" s="118"/>
    </row>
    <row r="101" ht="18" customHeight="1" spans="2:8">
      <c r="B101" s="120" t="s">
        <v>69</v>
      </c>
      <c r="C101" s="120"/>
      <c r="D101" s="120"/>
      <c r="E101" s="120"/>
      <c r="F101" s="120"/>
      <c r="G101" s="120"/>
      <c r="H101" s="120"/>
    </row>
    <row r="102" ht="21" spans="2:8">
      <c r="B102" s="2" t="s">
        <v>1</v>
      </c>
      <c r="C102" s="3"/>
      <c r="D102" s="3"/>
      <c r="E102" s="3"/>
      <c r="F102" s="3"/>
      <c r="G102" s="3"/>
      <c r="H102" s="4"/>
    </row>
    <row r="103" ht="28.5" spans="2:8">
      <c r="B103" s="5" t="s">
        <v>2</v>
      </c>
      <c r="C103" s="6"/>
      <c r="D103" s="6"/>
      <c r="E103" s="6"/>
      <c r="F103" s="6"/>
      <c r="G103" s="6"/>
      <c r="H103" s="7"/>
    </row>
    <row r="104" spans="2:8">
      <c r="B104" s="8" t="s">
        <v>3</v>
      </c>
      <c r="C104" s="9"/>
      <c r="D104" s="9"/>
      <c r="E104" s="9"/>
      <c r="F104" s="9"/>
      <c r="G104" s="9"/>
      <c r="H104" s="10"/>
    </row>
    <row r="105" ht="21.75" spans="2:8">
      <c r="B105" s="11" t="s">
        <v>4</v>
      </c>
      <c r="C105" s="12"/>
      <c r="D105" s="12"/>
      <c r="E105" s="12"/>
      <c r="F105" s="12"/>
      <c r="G105" s="12"/>
      <c r="H105" s="13"/>
    </row>
    <row r="106" spans="2:8">
      <c r="B106" s="14" t="s">
        <v>5</v>
      </c>
      <c r="C106" s="15"/>
      <c r="D106" s="15"/>
      <c r="E106" s="15"/>
      <c r="F106" s="15"/>
      <c r="G106" s="15"/>
      <c r="H106" s="16"/>
    </row>
    <row r="107" spans="2:8">
      <c r="B107" s="17" t="s">
        <v>6</v>
      </c>
      <c r="C107" s="18"/>
      <c r="D107" s="18"/>
      <c r="E107" s="18"/>
      <c r="F107" s="18"/>
      <c r="G107" s="18"/>
      <c r="H107" s="19"/>
    </row>
    <row r="108" ht="15.75" customHeight="1" spans="2:8">
      <c r="B108" s="20" t="s">
        <v>7</v>
      </c>
      <c r="C108" s="21"/>
      <c r="D108" s="22" t="s">
        <v>8</v>
      </c>
      <c r="E108" s="23"/>
      <c r="F108" s="23"/>
      <c r="G108" s="23"/>
      <c r="H108" s="24"/>
    </row>
    <row r="109" ht="21" spans="2:8">
      <c r="B109" s="25" t="s">
        <v>9</v>
      </c>
      <c r="C109" s="21"/>
      <c r="D109" s="26" t="s">
        <v>10</v>
      </c>
      <c r="E109" s="26"/>
      <c r="F109" s="27" t="s">
        <v>11</v>
      </c>
      <c r="G109" s="28" t="s">
        <v>12</v>
      </c>
      <c r="H109" s="29">
        <v>46288</v>
      </c>
    </row>
    <row r="110" spans="2:8">
      <c r="B110" s="20" t="s">
        <v>13</v>
      </c>
      <c r="C110" s="21"/>
      <c r="D110" s="26" t="s">
        <v>14</v>
      </c>
      <c r="E110" s="26"/>
      <c r="F110" s="27" t="s">
        <v>11</v>
      </c>
      <c r="G110" s="28" t="s">
        <v>12</v>
      </c>
      <c r="H110" s="29">
        <v>46288</v>
      </c>
    </row>
    <row r="111" spans="2:8">
      <c r="B111" s="20" t="s">
        <v>15</v>
      </c>
      <c r="C111" s="21"/>
      <c r="D111" s="26" t="s">
        <v>16</v>
      </c>
      <c r="E111" s="26"/>
      <c r="F111" s="30"/>
      <c r="G111" s="31" t="s">
        <v>12</v>
      </c>
      <c r="H111" s="29"/>
    </row>
    <row r="112" spans="2:8">
      <c r="B112" s="20" t="s">
        <v>17</v>
      </c>
      <c r="C112" s="21"/>
      <c r="D112" s="26" t="s">
        <v>18</v>
      </c>
      <c r="E112" s="26"/>
      <c r="F112" s="32" t="s">
        <v>19</v>
      </c>
      <c r="G112" s="31" t="s">
        <v>12</v>
      </c>
      <c r="H112" s="29">
        <v>46287</v>
      </c>
    </row>
    <row r="113" spans="2:8">
      <c r="B113" s="20" t="s">
        <v>20</v>
      </c>
      <c r="C113" s="21"/>
      <c r="D113" s="26" t="s">
        <v>21</v>
      </c>
      <c r="E113" s="26"/>
      <c r="F113" s="33"/>
      <c r="G113" s="34" t="s">
        <v>12</v>
      </c>
      <c r="H113" s="29"/>
    </row>
    <row r="114" spans="2:8">
      <c r="B114" s="35" t="s">
        <v>22</v>
      </c>
      <c r="C114" s="26"/>
      <c r="D114" s="26" t="s">
        <v>23</v>
      </c>
      <c r="E114" s="26"/>
      <c r="F114" s="21" t="s">
        <v>24</v>
      </c>
      <c r="G114" s="28" t="s">
        <v>25</v>
      </c>
      <c r="H114" s="36"/>
    </row>
    <row r="115" ht="15.75" spans="2:8">
      <c r="B115" s="37" t="s">
        <v>26</v>
      </c>
      <c r="C115" s="38"/>
      <c r="D115" s="38" t="s">
        <v>27</v>
      </c>
      <c r="E115" s="38"/>
      <c r="F115" s="38" t="s">
        <v>28</v>
      </c>
      <c r="G115" s="39" t="s">
        <v>29</v>
      </c>
      <c r="H115" s="40"/>
    </row>
    <row r="116" ht="3.75" customHeight="1" spans="2:8">
      <c r="B116" s="41"/>
      <c r="H116" s="42"/>
    </row>
    <row r="117" ht="39" spans="2:8">
      <c r="B117" s="43" t="s">
        <v>30</v>
      </c>
      <c r="C117" s="44" t="s">
        <v>31</v>
      </c>
      <c r="D117" s="45" t="s">
        <v>32</v>
      </c>
      <c r="E117" s="44" t="s">
        <v>33</v>
      </c>
      <c r="F117" s="44" t="s">
        <v>34</v>
      </c>
      <c r="G117" s="44" t="s">
        <v>35</v>
      </c>
      <c r="H117" s="46" t="s">
        <v>36</v>
      </c>
    </row>
    <row r="118" customHeight="1" spans="2:8">
      <c r="B118" s="47">
        <v>1</v>
      </c>
      <c r="C118" s="48" t="s">
        <v>38</v>
      </c>
      <c r="D118" s="49">
        <v>82073000</v>
      </c>
      <c r="E118" s="50" t="s">
        <v>39</v>
      </c>
      <c r="F118" s="51">
        <v>2</v>
      </c>
      <c r="G118" s="52">
        <v>13000</v>
      </c>
      <c r="H118" s="53">
        <f>SUM(F118*G118)</f>
        <v>26000</v>
      </c>
    </row>
    <row r="119" spans="2:8">
      <c r="B119" s="54"/>
      <c r="C119" s="55" t="s">
        <v>40</v>
      </c>
      <c r="D119" s="56"/>
      <c r="E119" s="50"/>
      <c r="F119" s="51"/>
      <c r="G119" s="57"/>
      <c r="H119" s="53"/>
    </row>
    <row r="120" ht="21" spans="2:8">
      <c r="B120" s="47">
        <v>2</v>
      </c>
      <c r="C120" s="133" t="s">
        <v>38</v>
      </c>
      <c r="D120" s="49">
        <v>82073000</v>
      </c>
      <c r="E120" s="50" t="s">
        <v>39</v>
      </c>
      <c r="F120" s="51">
        <v>2</v>
      </c>
      <c r="G120" s="57">
        <v>19750</v>
      </c>
      <c r="H120" s="53">
        <f>SUM(F120*G120)</f>
        <v>39500</v>
      </c>
    </row>
    <row r="121" spans="2:8">
      <c r="B121" s="54"/>
      <c r="C121" s="55" t="s">
        <v>41</v>
      </c>
      <c r="D121" s="56"/>
      <c r="E121" s="50"/>
      <c r="F121" s="51"/>
      <c r="G121" s="57"/>
      <c r="H121" s="53"/>
    </row>
    <row r="122" spans="2:8">
      <c r="B122" s="62"/>
      <c r="C122" s="32"/>
      <c r="D122" s="58"/>
      <c r="E122" s="50"/>
      <c r="F122" s="51"/>
      <c r="G122" s="57"/>
      <c r="H122" s="53"/>
    </row>
    <row r="123" spans="2:8">
      <c r="B123" s="62"/>
      <c r="C123" s="60"/>
      <c r="D123" s="56"/>
      <c r="E123" s="50"/>
      <c r="F123" s="51"/>
      <c r="G123" s="57"/>
      <c r="H123" s="53"/>
    </row>
    <row r="124" spans="2:8">
      <c r="B124" s="62"/>
      <c r="C124" s="32"/>
      <c r="D124" s="63"/>
      <c r="E124" s="50"/>
      <c r="F124" s="51"/>
      <c r="G124" s="57"/>
      <c r="H124" s="53"/>
    </row>
    <row r="125" spans="2:8">
      <c r="B125" s="62"/>
      <c r="C125" s="64"/>
      <c r="D125" s="63"/>
      <c r="E125" s="50"/>
      <c r="F125" s="51"/>
      <c r="G125" s="57"/>
      <c r="H125" s="53"/>
    </row>
    <row r="126" spans="2:8">
      <c r="B126" s="62"/>
      <c r="C126" s="32"/>
      <c r="D126" s="63"/>
      <c r="E126" s="50"/>
      <c r="F126" s="51"/>
      <c r="G126" s="57"/>
      <c r="H126" s="53"/>
    </row>
    <row r="127" spans="2:8">
      <c r="B127" s="62"/>
      <c r="C127" s="65"/>
      <c r="D127" s="27"/>
      <c r="E127" s="27"/>
      <c r="F127" s="66"/>
      <c r="G127" s="57"/>
      <c r="H127" s="53"/>
    </row>
    <row r="128" spans="2:8">
      <c r="B128" s="62"/>
      <c r="C128" s="32"/>
      <c r="D128" s="63"/>
      <c r="E128" s="50"/>
      <c r="F128" s="51"/>
      <c r="G128" s="57"/>
      <c r="H128" s="53"/>
    </row>
    <row r="129" spans="2:8">
      <c r="B129" s="62"/>
      <c r="C129" s="65"/>
      <c r="D129" s="27"/>
      <c r="E129" s="27"/>
      <c r="F129" s="66"/>
      <c r="G129" s="57"/>
      <c r="H129" s="53"/>
    </row>
    <row r="130" spans="2:8">
      <c r="B130" s="62"/>
      <c r="C130" s="67"/>
      <c r="D130" s="63"/>
      <c r="E130" s="50"/>
      <c r="F130" s="51"/>
      <c r="G130" s="68"/>
      <c r="H130" s="69"/>
    </row>
    <row r="131" spans="2:8">
      <c r="B131" s="20"/>
      <c r="C131" s="65"/>
      <c r="D131" s="21"/>
      <c r="E131" s="21"/>
      <c r="F131" s="66"/>
      <c r="G131" s="70"/>
      <c r="H131" s="69"/>
    </row>
    <row r="132" spans="2:8">
      <c r="B132" s="62"/>
      <c r="C132" s="32"/>
      <c r="D132" s="63"/>
      <c r="E132" s="50"/>
      <c r="F132" s="51"/>
      <c r="G132" s="70"/>
      <c r="H132" s="69"/>
    </row>
    <row r="133" spans="2:8">
      <c r="B133" s="20"/>
      <c r="C133" s="65"/>
      <c r="D133" s="21"/>
      <c r="E133" s="21"/>
      <c r="F133" s="66"/>
      <c r="G133" s="70"/>
      <c r="H133" s="69"/>
    </row>
    <row r="134" ht="21" spans="2:8">
      <c r="B134" s="71" t="s">
        <v>42</v>
      </c>
      <c r="C134" s="72"/>
      <c r="D134" s="66" t="s">
        <v>43</v>
      </c>
      <c r="E134" s="73"/>
      <c r="F134" s="27">
        <f>SUM(F118:F133)</f>
        <v>4</v>
      </c>
      <c r="G134" s="21"/>
      <c r="H134" s="74"/>
    </row>
    <row r="135" spans="2:8">
      <c r="B135" s="75"/>
      <c r="C135" s="76"/>
      <c r="D135" s="76"/>
      <c r="E135" s="77"/>
      <c r="F135" s="26" t="s">
        <v>44</v>
      </c>
      <c r="G135" s="26"/>
      <c r="H135" s="78">
        <f>SUM(H118:H134)</f>
        <v>65500</v>
      </c>
    </row>
    <row r="136" spans="2:8">
      <c r="B136" s="79" t="s">
        <v>45</v>
      </c>
      <c r="C136" s="80"/>
      <c r="E136" s="81"/>
      <c r="F136" s="21" t="s">
        <v>46</v>
      </c>
      <c r="G136" s="82">
        <v>0.09</v>
      </c>
      <c r="H136" s="78">
        <f>SUM(H135*G136)</f>
        <v>5895</v>
      </c>
    </row>
    <row r="137" spans="2:8">
      <c r="B137" s="83" t="s">
        <v>47</v>
      </c>
      <c r="C137" s="84"/>
      <c r="E137" s="81"/>
      <c r="F137" s="21" t="s">
        <v>48</v>
      </c>
      <c r="G137" s="82">
        <v>0.09</v>
      </c>
      <c r="H137" s="78">
        <f>SUM(H135*G137)</f>
        <v>5895</v>
      </c>
    </row>
    <row r="138" spans="2:8">
      <c r="B138" s="83" t="s">
        <v>49</v>
      </c>
      <c r="C138" s="84"/>
      <c r="E138" s="81"/>
      <c r="F138" s="21" t="s">
        <v>50</v>
      </c>
      <c r="G138" s="82">
        <v>0.18</v>
      </c>
      <c r="H138" s="85" t="s">
        <v>51</v>
      </c>
    </row>
    <row r="139" spans="2:8">
      <c r="B139" s="83" t="s">
        <v>52</v>
      </c>
      <c r="C139" s="84"/>
      <c r="E139" s="81"/>
      <c r="F139" s="86" t="s">
        <v>53</v>
      </c>
      <c r="G139" s="87"/>
      <c r="H139" s="78">
        <f>SUM(H136:H138)</f>
        <v>11790</v>
      </c>
    </row>
    <row r="140" spans="2:8">
      <c r="B140" s="83" t="s">
        <v>54</v>
      </c>
      <c r="C140" s="84"/>
      <c r="E140" s="81"/>
      <c r="F140" s="88" t="s">
        <v>55</v>
      </c>
      <c r="G140" s="88"/>
      <c r="H140" s="89">
        <f>SUM(H135+H139+H142)</f>
        <v>77290</v>
      </c>
    </row>
    <row r="141" spans="2:8">
      <c r="B141" s="90"/>
      <c r="C141" s="91"/>
      <c r="D141" s="91"/>
      <c r="E141" s="92"/>
      <c r="F141" s="93" t="s">
        <v>56</v>
      </c>
      <c r="G141" s="93"/>
      <c r="H141" s="74"/>
    </row>
    <row r="142" ht="27" customHeight="1" spans="2:8">
      <c r="B142" s="94" t="s">
        <v>57</v>
      </c>
      <c r="C142" s="95"/>
      <c r="D142" s="95"/>
      <c r="E142" s="96"/>
      <c r="F142" s="97" t="s">
        <v>58</v>
      </c>
      <c r="G142" s="98"/>
      <c r="H142" s="99"/>
    </row>
    <row r="143" spans="2:8">
      <c r="B143" s="100" t="s">
        <v>59</v>
      </c>
      <c r="C143" s="101"/>
      <c r="D143" s="101"/>
      <c r="E143" s="102" t="s">
        <v>60</v>
      </c>
      <c r="F143" s="102"/>
      <c r="G143" s="102"/>
      <c r="H143" s="103"/>
    </row>
    <row r="144" ht="18.75" spans="2:8">
      <c r="B144" s="104" t="s">
        <v>61</v>
      </c>
      <c r="E144" s="105" t="s">
        <v>62</v>
      </c>
      <c r="F144" s="105"/>
      <c r="G144" s="105"/>
      <c r="H144" s="106"/>
    </row>
    <row r="145" ht="18.75" spans="2:8">
      <c r="B145" s="108" t="s">
        <v>63</v>
      </c>
      <c r="C145" s="109"/>
      <c r="D145" s="110"/>
      <c r="E145" s="110"/>
      <c r="F145" s="111"/>
      <c r="G145" s="111"/>
      <c r="H145" s="42"/>
    </row>
    <row r="146" spans="2:8">
      <c r="B146" s="112" t="s">
        <v>64</v>
      </c>
      <c r="C146" s="113"/>
      <c r="D146" s="113"/>
      <c r="E146" s="113"/>
      <c r="F146" s="114"/>
      <c r="G146" s="111"/>
      <c r="H146" s="42"/>
    </row>
    <row r="147" spans="2:8">
      <c r="B147" s="112" t="s">
        <v>65</v>
      </c>
      <c r="C147" s="113"/>
      <c r="D147" s="113"/>
      <c r="E147" s="113"/>
      <c r="F147" s="114"/>
      <c r="G147" s="111"/>
      <c r="H147" s="42"/>
    </row>
    <row r="148" spans="2:8">
      <c r="B148" s="41"/>
      <c r="F148" s="111"/>
      <c r="G148" s="111"/>
      <c r="H148" s="42"/>
    </row>
    <row r="149" ht="15.75" spans="2:8">
      <c r="B149" s="115" t="s">
        <v>66</v>
      </c>
      <c r="C149" s="116"/>
      <c r="D149" s="116"/>
      <c r="E149" s="116"/>
      <c r="F149" s="116"/>
      <c r="G149" s="116"/>
      <c r="H149" s="117" t="s">
        <v>67</v>
      </c>
    </row>
  </sheetData>
  <mergeCells count="48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4:C34"/>
    <mergeCell ref="D34:E34"/>
    <mergeCell ref="F39:G39"/>
    <mergeCell ref="B42:E42"/>
    <mergeCell ref="F42:G42"/>
    <mergeCell ref="E43:H43"/>
    <mergeCell ref="E44:H44"/>
    <mergeCell ref="B51:H51"/>
    <mergeCell ref="B52:H52"/>
    <mergeCell ref="B53:H53"/>
    <mergeCell ref="B54:H54"/>
    <mergeCell ref="B55:H55"/>
    <mergeCell ref="B56:H56"/>
    <mergeCell ref="B57:H57"/>
    <mergeCell ref="D58:H58"/>
    <mergeCell ref="G64:H64"/>
    <mergeCell ref="B84:C84"/>
    <mergeCell ref="D84:E84"/>
    <mergeCell ref="F89:G89"/>
    <mergeCell ref="B92:E92"/>
    <mergeCell ref="F92:G92"/>
    <mergeCell ref="E93:H93"/>
    <mergeCell ref="E94:H94"/>
    <mergeCell ref="B101:H101"/>
    <mergeCell ref="B102:H102"/>
    <mergeCell ref="B103:H103"/>
    <mergeCell ref="B104:H104"/>
    <mergeCell ref="B105:H105"/>
    <mergeCell ref="B106:H106"/>
    <mergeCell ref="B107:H107"/>
    <mergeCell ref="D108:H108"/>
    <mergeCell ref="G114:H114"/>
    <mergeCell ref="B134:C134"/>
    <mergeCell ref="D134:E134"/>
    <mergeCell ref="F139:G139"/>
    <mergeCell ref="B142:E142"/>
    <mergeCell ref="F142:G142"/>
    <mergeCell ref="E143:H143"/>
    <mergeCell ref="E144:H144"/>
  </mergeCells>
  <pageMargins left="0.17" right="0.17" top="0.17" bottom="0.17" header="10.9" footer="0.79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149"/>
  <sheetViews>
    <sheetView topLeftCell="A21" workbookViewId="0">
      <selection activeCell="B98" sqref="B98:H144"/>
    </sheetView>
  </sheetViews>
  <sheetFormatPr defaultColWidth="9" defaultRowHeight="15"/>
  <cols>
    <col min="1" max="1" width="0.552380952380952" customWidth="1"/>
    <col min="2" max="2" width="3.66666666666667" customWidth="1"/>
    <col min="3" max="3" width="38.8857142857143" customWidth="1"/>
    <col min="4" max="4" width="9.55238095238095" customWidth="1"/>
    <col min="5" max="5" width="7.88571428571429" customWidth="1"/>
    <col min="6" max="6" width="15.8857142857143" customWidth="1"/>
    <col min="7" max="7" width="11.8857142857143" customWidth="1"/>
    <col min="8" max="8" width="11.6666666666667" customWidth="1"/>
    <col min="9" max="9" width="0.666666666666667" customWidth="1"/>
  </cols>
  <sheetData>
    <row r="1" ht="15.75" spans="2:8">
      <c r="B1" s="1" t="s">
        <v>0</v>
      </c>
      <c r="C1" s="1"/>
      <c r="D1" s="1"/>
      <c r="E1" s="1"/>
      <c r="F1" s="1"/>
      <c r="G1" s="1"/>
      <c r="H1" s="1"/>
    </row>
    <row r="2" ht="21" spans="2:8">
      <c r="B2" s="2" t="s">
        <v>1</v>
      </c>
      <c r="C2" s="3"/>
      <c r="D2" s="3"/>
      <c r="E2" s="3"/>
      <c r="F2" s="3"/>
      <c r="G2" s="3"/>
      <c r="H2" s="4"/>
    </row>
    <row r="3" ht="28.5" spans="2:8">
      <c r="B3" s="5" t="s">
        <v>2</v>
      </c>
      <c r="C3" s="6"/>
      <c r="D3" s="6"/>
      <c r="E3" s="6"/>
      <c r="F3" s="6"/>
      <c r="G3" s="6"/>
      <c r="H3" s="7"/>
    </row>
    <row r="4" spans="2:8">
      <c r="B4" s="8" t="s">
        <v>3</v>
      </c>
      <c r="C4" s="9"/>
      <c r="D4" s="9"/>
      <c r="E4" s="9"/>
      <c r="F4" s="9"/>
      <c r="G4" s="9"/>
      <c r="H4" s="10"/>
    </row>
    <row r="5" ht="21.75" spans="2:8">
      <c r="B5" s="11" t="s">
        <v>4</v>
      </c>
      <c r="C5" s="12"/>
      <c r="D5" s="12"/>
      <c r="E5" s="12"/>
      <c r="F5" s="12"/>
      <c r="G5" s="12"/>
      <c r="H5" s="13"/>
    </row>
    <row r="6" spans="2:8">
      <c r="B6" s="14" t="s">
        <v>5</v>
      </c>
      <c r="C6" s="15"/>
      <c r="D6" s="15"/>
      <c r="E6" s="15"/>
      <c r="F6" s="15"/>
      <c r="G6" s="15"/>
      <c r="H6" s="16"/>
    </row>
    <row r="7" spans="2:8">
      <c r="B7" s="17" t="s">
        <v>6</v>
      </c>
      <c r="C7" s="18"/>
      <c r="D7" s="18"/>
      <c r="E7" s="18"/>
      <c r="F7" s="18"/>
      <c r="G7" s="18"/>
      <c r="H7" s="19"/>
    </row>
    <row r="8" ht="15.75" customHeight="1" spans="2:8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8">
      <c r="B9" s="25" t="s">
        <v>9</v>
      </c>
      <c r="C9" s="21"/>
      <c r="D9" s="26" t="s">
        <v>10</v>
      </c>
      <c r="E9" s="26"/>
      <c r="F9" s="27" t="s">
        <v>70</v>
      </c>
      <c r="G9" s="28" t="s">
        <v>12</v>
      </c>
      <c r="H9" s="29">
        <v>46288</v>
      </c>
    </row>
    <row r="10" spans="2:8">
      <c r="B10" s="20" t="s">
        <v>13</v>
      </c>
      <c r="C10" s="21"/>
      <c r="D10" s="26" t="s">
        <v>14</v>
      </c>
      <c r="E10" s="26"/>
      <c r="F10" s="27" t="s">
        <v>70</v>
      </c>
      <c r="G10" s="28" t="s">
        <v>12</v>
      </c>
      <c r="H10" s="29">
        <v>46288</v>
      </c>
    </row>
    <row r="11" spans="2:8">
      <c r="B11" s="20" t="s">
        <v>15</v>
      </c>
      <c r="C11" s="21"/>
      <c r="D11" s="26" t="s">
        <v>16</v>
      </c>
      <c r="E11" s="26"/>
      <c r="F11" s="30"/>
      <c r="G11" s="31" t="s">
        <v>12</v>
      </c>
      <c r="H11" s="29"/>
    </row>
    <row r="12" spans="2:8">
      <c r="B12" s="20" t="s">
        <v>17</v>
      </c>
      <c r="C12" s="21"/>
      <c r="D12" s="26" t="s">
        <v>18</v>
      </c>
      <c r="E12" s="26"/>
      <c r="F12" s="32" t="s">
        <v>71</v>
      </c>
      <c r="G12" s="31" t="s">
        <v>12</v>
      </c>
      <c r="H12" s="29">
        <v>46287</v>
      </c>
    </row>
    <row r="13" spans="2:8">
      <c r="B13" s="20" t="s">
        <v>20</v>
      </c>
      <c r="C13" s="21"/>
      <c r="D13" s="26" t="s">
        <v>21</v>
      </c>
      <c r="E13" s="26"/>
      <c r="F13" s="33"/>
      <c r="G13" s="34" t="s">
        <v>12</v>
      </c>
      <c r="H13" s="29"/>
    </row>
    <row r="14" spans="2:8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8">
      <c r="B15" s="37" t="s">
        <v>26</v>
      </c>
      <c r="C15" s="38"/>
      <c r="D15" s="38" t="s">
        <v>27</v>
      </c>
      <c r="E15" s="38"/>
      <c r="F15" s="38" t="s">
        <v>28</v>
      </c>
      <c r="G15" s="39"/>
      <c r="H15" s="40"/>
    </row>
    <row r="16" ht="3.75" customHeight="1" spans="2:8">
      <c r="B16" s="41"/>
      <c r="H16" s="42"/>
    </row>
    <row r="17" ht="39" spans="2:13">
      <c r="B17" s="43" t="s">
        <v>30</v>
      </c>
      <c r="C17" s="44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M17" t="s">
        <v>37</v>
      </c>
    </row>
    <row r="18" customHeight="1" spans="2:13">
      <c r="B18" s="47">
        <v>1</v>
      </c>
      <c r="C18" s="48" t="s">
        <v>72</v>
      </c>
      <c r="D18" s="49">
        <v>82072000</v>
      </c>
      <c r="E18" s="50" t="s">
        <v>39</v>
      </c>
      <c r="F18" s="51">
        <v>1</v>
      </c>
      <c r="G18" s="52">
        <v>7855</v>
      </c>
      <c r="H18" s="53">
        <f>SUM(F18*G18)</f>
        <v>7855</v>
      </c>
    </row>
    <row r="19" spans="2:13">
      <c r="B19" s="54"/>
      <c r="C19" s="55" t="s">
        <v>73</v>
      </c>
      <c r="D19" s="56"/>
      <c r="E19" s="50"/>
      <c r="F19" s="51"/>
      <c r="G19" s="57"/>
      <c r="H19" s="53"/>
    </row>
    <row r="20" customHeight="1" spans="2:13">
      <c r="B20" s="47">
        <v>2</v>
      </c>
      <c r="C20" s="133" t="s">
        <v>74</v>
      </c>
      <c r="D20" s="49">
        <v>82072000</v>
      </c>
      <c r="E20" s="50" t="s">
        <v>39</v>
      </c>
      <c r="F20" s="51">
        <v>1</v>
      </c>
      <c r="G20" s="57">
        <v>8925</v>
      </c>
      <c r="H20" s="53">
        <f>SUM(F20*G20)</f>
        <v>8925</v>
      </c>
      <c r="L20" s="59"/>
    </row>
    <row r="21" customHeight="1" spans="2:13">
      <c r="B21" s="54"/>
      <c r="C21" s="55" t="s">
        <v>75</v>
      </c>
      <c r="D21" s="56"/>
      <c r="E21" s="50"/>
      <c r="F21" s="51"/>
      <c r="G21" s="57"/>
      <c r="H21" s="53"/>
      <c r="L21" s="59"/>
    </row>
    <row r="22" spans="2:13">
      <c r="B22" s="62"/>
      <c r="C22" s="32"/>
      <c r="D22" s="58"/>
      <c r="E22" s="50"/>
      <c r="F22" s="51"/>
      <c r="G22" s="57"/>
      <c r="H22" s="53"/>
    </row>
    <row r="23" customHeight="1" spans="2:13">
      <c r="B23" s="62"/>
      <c r="C23" s="60"/>
      <c r="D23" s="56"/>
      <c r="E23" s="50"/>
      <c r="F23" s="51"/>
      <c r="G23" s="57"/>
      <c r="H23" s="53"/>
    </row>
    <row r="24" spans="2:13">
      <c r="B24" s="62"/>
      <c r="C24" s="32"/>
      <c r="D24" s="63"/>
      <c r="E24" s="50"/>
      <c r="F24" s="51"/>
      <c r="G24" s="57"/>
      <c r="H24" s="53"/>
    </row>
    <row r="25" spans="2:13">
      <c r="B25" s="62"/>
      <c r="C25" s="64"/>
      <c r="D25" s="63"/>
      <c r="E25" s="50"/>
      <c r="F25" s="51"/>
      <c r="G25" s="57"/>
      <c r="H25" s="53"/>
    </row>
    <row r="26" spans="2:13">
      <c r="B26" s="62"/>
      <c r="C26" s="32"/>
      <c r="D26" s="63"/>
      <c r="E26" s="50"/>
      <c r="F26" s="51"/>
      <c r="G26" s="57"/>
      <c r="H26" s="53"/>
    </row>
    <row r="27" spans="2:13">
      <c r="B27" s="62"/>
      <c r="C27" s="65"/>
      <c r="D27" s="27"/>
      <c r="E27" s="27"/>
      <c r="F27" s="66"/>
      <c r="G27" s="57"/>
      <c r="H27" s="53"/>
    </row>
    <row r="28" spans="2:13">
      <c r="B28" s="62"/>
      <c r="C28" s="32"/>
      <c r="D28" s="63"/>
      <c r="E28" s="50"/>
      <c r="F28" s="51"/>
      <c r="G28" s="57"/>
      <c r="H28" s="53"/>
    </row>
    <row r="29" spans="2:13">
      <c r="B29" s="62"/>
      <c r="C29" s="65"/>
      <c r="D29" s="27"/>
      <c r="E29" s="27"/>
      <c r="F29" s="66"/>
      <c r="G29" s="57"/>
      <c r="H29" s="53"/>
    </row>
    <row r="30" customHeight="1" spans="2:13">
      <c r="B30" s="62"/>
      <c r="C30" s="67"/>
      <c r="D30" s="63"/>
      <c r="E30" s="50"/>
      <c r="F30" s="51"/>
      <c r="G30" s="68"/>
      <c r="H30" s="69"/>
    </row>
    <row r="31" customHeight="1" spans="2:13">
      <c r="B31" s="20"/>
      <c r="C31" s="65"/>
      <c r="D31" s="21"/>
      <c r="E31" s="21"/>
      <c r="F31" s="66"/>
      <c r="G31" s="70"/>
      <c r="H31" s="69"/>
    </row>
    <row r="32" customHeight="1" spans="2:13">
      <c r="B32" s="62"/>
      <c r="C32" s="32"/>
      <c r="D32" s="63"/>
      <c r="E32" s="50"/>
      <c r="F32" s="51"/>
      <c r="G32" s="70"/>
      <c r="H32" s="69"/>
    </row>
    <row r="33" customHeight="1" spans="2:9">
      <c r="B33" s="20"/>
      <c r="C33" s="65"/>
      <c r="D33" s="21"/>
      <c r="E33" s="21"/>
      <c r="F33" s="66"/>
      <c r="G33" s="70"/>
      <c r="H33" s="69"/>
    </row>
    <row r="34" customHeight="1" spans="2:9">
      <c r="B34" s="71" t="s">
        <v>42</v>
      </c>
      <c r="C34" s="72"/>
      <c r="D34" s="66" t="s">
        <v>43</v>
      </c>
      <c r="E34" s="73"/>
      <c r="F34" s="27">
        <f>SUM(F18:F33)</f>
        <v>2</v>
      </c>
      <c r="G34" s="21"/>
      <c r="H34" s="74"/>
    </row>
    <row r="35" spans="2:9">
      <c r="B35" s="75"/>
      <c r="C35" s="76"/>
      <c r="D35" s="76"/>
      <c r="E35" s="77"/>
      <c r="F35" s="26" t="s">
        <v>44</v>
      </c>
      <c r="G35" s="26"/>
      <c r="H35" s="78">
        <f>SUM(H18:H34)</f>
        <v>16780</v>
      </c>
    </row>
    <row r="36" spans="2:9">
      <c r="B36" s="79" t="s">
        <v>45</v>
      </c>
      <c r="C36" s="80"/>
      <c r="E36" s="81"/>
      <c r="F36" s="21" t="s">
        <v>46</v>
      </c>
      <c r="G36" s="82">
        <v>0.09</v>
      </c>
      <c r="H36" s="78">
        <f>SUM(H35*G36)</f>
        <v>1510.2</v>
      </c>
    </row>
    <row r="37" spans="2:9">
      <c r="B37" s="83" t="s">
        <v>47</v>
      </c>
      <c r="C37" s="84"/>
      <c r="E37" s="81"/>
      <c r="F37" s="21" t="s">
        <v>48</v>
      </c>
      <c r="G37" s="82">
        <v>0.09</v>
      </c>
      <c r="H37" s="78">
        <f>SUM(H35*G37)</f>
        <v>1510.2</v>
      </c>
    </row>
    <row r="38" spans="2:9">
      <c r="B38" s="83" t="s">
        <v>49</v>
      </c>
      <c r="C38" s="84"/>
      <c r="E38" s="81"/>
      <c r="F38" s="21" t="s">
        <v>50</v>
      </c>
      <c r="G38" s="82">
        <v>0.18</v>
      </c>
      <c r="H38" s="85" t="s">
        <v>51</v>
      </c>
    </row>
    <row r="39" spans="2:9">
      <c r="B39" s="83" t="s">
        <v>52</v>
      </c>
      <c r="C39" s="84"/>
      <c r="E39" s="81"/>
      <c r="F39" s="86" t="s">
        <v>53</v>
      </c>
      <c r="G39" s="87"/>
      <c r="H39" s="78">
        <f>SUM(H36:H38)</f>
        <v>3020.4</v>
      </c>
    </row>
    <row r="40" spans="2:9">
      <c r="B40" s="83" t="s">
        <v>54</v>
      </c>
      <c r="C40" s="84"/>
      <c r="E40" s="81"/>
      <c r="F40" s="88" t="s">
        <v>55</v>
      </c>
      <c r="G40" s="88"/>
      <c r="H40" s="89">
        <f>SUM(H35+H39+H42)</f>
        <v>19800</v>
      </c>
    </row>
    <row r="41" spans="2:9">
      <c r="B41" s="90"/>
      <c r="C41" s="91"/>
      <c r="D41" s="91"/>
      <c r="E41" s="92"/>
      <c r="F41" s="93" t="s">
        <v>56</v>
      </c>
      <c r="G41" s="93"/>
      <c r="H41" s="74"/>
    </row>
    <row r="42" ht="29.4" customHeight="1" spans="2:9">
      <c r="B42" s="94" t="s">
        <v>76</v>
      </c>
      <c r="C42" s="95"/>
      <c r="D42" s="95"/>
      <c r="E42" s="96"/>
      <c r="F42" s="97" t="s">
        <v>58</v>
      </c>
      <c r="G42" s="98"/>
      <c r="H42" s="99">
        <v>-0.4</v>
      </c>
    </row>
    <row r="43" ht="27.6" customHeight="1" spans="2:9">
      <c r="B43" s="100" t="s">
        <v>59</v>
      </c>
      <c r="C43" s="101"/>
      <c r="D43" s="101"/>
      <c r="E43" s="102" t="s">
        <v>60</v>
      </c>
      <c r="F43" s="102"/>
      <c r="G43" s="102"/>
      <c r="H43" s="103"/>
    </row>
    <row r="44" ht="18.75" spans="2:9">
      <c r="B44" s="104" t="s">
        <v>61</v>
      </c>
      <c r="E44" s="105" t="s">
        <v>62</v>
      </c>
      <c r="F44" s="105"/>
      <c r="G44" s="105"/>
      <c r="H44" s="106"/>
      <c r="I44" s="107"/>
    </row>
    <row r="45" ht="18.75" spans="2:9">
      <c r="B45" s="108" t="s">
        <v>63</v>
      </c>
      <c r="C45" s="109"/>
      <c r="D45" s="110"/>
      <c r="E45" s="110"/>
      <c r="F45" s="111"/>
      <c r="G45" s="111"/>
      <c r="H45" s="42"/>
    </row>
    <row r="46" spans="2:9">
      <c r="B46" s="112" t="s">
        <v>64</v>
      </c>
      <c r="C46" s="113"/>
      <c r="D46" s="113"/>
      <c r="E46" s="113"/>
      <c r="F46" s="114"/>
      <c r="G46" s="111"/>
      <c r="H46" s="42"/>
    </row>
    <row r="47" spans="2:9">
      <c r="B47" s="112" t="s">
        <v>65</v>
      </c>
      <c r="C47" s="113"/>
      <c r="D47" s="113"/>
      <c r="E47" s="113"/>
      <c r="F47" s="114"/>
      <c r="G47" s="111"/>
      <c r="H47" s="42"/>
    </row>
    <row r="48" spans="2:9">
      <c r="B48" s="41"/>
      <c r="F48" s="111"/>
      <c r="G48" s="111"/>
      <c r="H48" s="42"/>
    </row>
    <row r="49" ht="15.75" spans="2:24">
      <c r="B49" s="115" t="s">
        <v>66</v>
      </c>
      <c r="C49" s="116"/>
      <c r="D49" s="116"/>
      <c r="E49" s="116"/>
      <c r="F49" s="116"/>
      <c r="G49" s="116"/>
      <c r="H49" s="117" t="s">
        <v>67</v>
      </c>
    </row>
    <row r="50" spans="2:24">
      <c r="H50" s="118"/>
    </row>
    <row r="51" ht="15.75" customHeight="1" spans="2:24">
      <c r="B51" s="1" t="s">
        <v>68</v>
      </c>
      <c r="C51" s="1"/>
      <c r="D51" s="1"/>
      <c r="E51" s="1"/>
      <c r="F51" s="1"/>
      <c r="G51" s="1"/>
      <c r="H51" s="1"/>
    </row>
    <row r="52" ht="21" spans="2:24">
      <c r="B52" s="2" t="s">
        <v>1</v>
      </c>
      <c r="C52" s="3"/>
      <c r="D52" s="3"/>
      <c r="E52" s="3"/>
      <c r="F52" s="3"/>
      <c r="G52" s="3"/>
      <c r="H52" s="4"/>
    </row>
    <row r="53" ht="28.5" spans="2:24">
      <c r="B53" s="5" t="s">
        <v>2</v>
      </c>
      <c r="C53" s="6"/>
      <c r="D53" s="6"/>
      <c r="E53" s="6"/>
      <c r="F53" s="6"/>
      <c r="G53" s="6"/>
      <c r="H53" s="7"/>
    </row>
    <row r="54" spans="2:24">
      <c r="B54" s="8" t="s">
        <v>3</v>
      </c>
      <c r="C54" s="9"/>
      <c r="D54" s="9"/>
      <c r="E54" s="9"/>
      <c r="F54" s="9"/>
      <c r="G54" s="9"/>
      <c r="H54" s="10"/>
    </row>
    <row r="55" ht="21.75" spans="2:24">
      <c r="B55" s="11" t="s">
        <v>4</v>
      </c>
      <c r="C55" s="12"/>
      <c r="D55" s="12"/>
      <c r="E55" s="12"/>
      <c r="F55" s="12"/>
      <c r="G55" s="12"/>
      <c r="H55" s="13"/>
    </row>
    <row r="56" spans="2:24">
      <c r="B56" s="14" t="s">
        <v>5</v>
      </c>
      <c r="C56" s="15"/>
      <c r="D56" s="15"/>
      <c r="E56" s="15"/>
      <c r="F56" s="15"/>
      <c r="G56" s="15"/>
      <c r="H56" s="16"/>
    </row>
    <row r="57" spans="2:24">
      <c r="B57" s="17" t="s">
        <v>6</v>
      </c>
      <c r="C57" s="18"/>
      <c r="D57" s="18"/>
      <c r="E57" s="18"/>
      <c r="F57" s="18"/>
      <c r="G57" s="18"/>
      <c r="H57" s="19"/>
      <c r="X57" s="119"/>
    </row>
    <row r="58" ht="15.75" customHeight="1" spans="2:24">
      <c r="B58" s="20" t="s">
        <v>7</v>
      </c>
      <c r="C58" s="21"/>
      <c r="D58" s="22" t="s">
        <v>8</v>
      </c>
      <c r="E58" s="23"/>
      <c r="F58" s="23"/>
      <c r="G58" s="23"/>
      <c r="H58" s="24"/>
    </row>
    <row r="59" ht="21" spans="2:24">
      <c r="B59" s="25" t="s">
        <v>9</v>
      </c>
      <c r="C59" s="21"/>
      <c r="D59" s="26" t="s">
        <v>10</v>
      </c>
      <c r="E59" s="26"/>
      <c r="F59" s="27" t="s">
        <v>70</v>
      </c>
      <c r="G59" s="28" t="s">
        <v>12</v>
      </c>
      <c r="H59" s="29">
        <v>46288</v>
      </c>
    </row>
    <row r="60" spans="2:24">
      <c r="B60" s="20" t="s">
        <v>13</v>
      </c>
      <c r="C60" s="21"/>
      <c r="D60" s="26" t="s">
        <v>14</v>
      </c>
      <c r="E60" s="26"/>
      <c r="F60" s="27" t="s">
        <v>70</v>
      </c>
      <c r="G60" s="28" t="s">
        <v>12</v>
      </c>
      <c r="H60" s="29">
        <v>46288</v>
      </c>
    </row>
    <row r="61" spans="2:24">
      <c r="B61" s="20" t="s">
        <v>15</v>
      </c>
      <c r="C61" s="21"/>
      <c r="D61" s="26" t="s">
        <v>16</v>
      </c>
      <c r="E61" s="26"/>
      <c r="F61" s="30"/>
      <c r="G61" s="31" t="s">
        <v>12</v>
      </c>
      <c r="H61" s="29"/>
    </row>
    <row r="62" spans="2:24">
      <c r="B62" s="20" t="s">
        <v>17</v>
      </c>
      <c r="C62" s="21"/>
      <c r="D62" s="26" t="s">
        <v>18</v>
      </c>
      <c r="E62" s="26"/>
      <c r="F62" s="32" t="s">
        <v>71</v>
      </c>
      <c r="G62" s="31" t="s">
        <v>12</v>
      </c>
      <c r="H62" s="29">
        <v>46287</v>
      </c>
    </row>
    <row r="63" spans="2:24">
      <c r="B63" s="20" t="s">
        <v>20</v>
      </c>
      <c r="C63" s="21"/>
      <c r="D63" s="26" t="s">
        <v>21</v>
      </c>
      <c r="E63" s="26"/>
      <c r="F63" s="33"/>
      <c r="G63" s="34" t="s">
        <v>12</v>
      </c>
      <c r="H63" s="29"/>
    </row>
    <row r="64" spans="2:24">
      <c r="B64" s="35" t="s">
        <v>22</v>
      </c>
      <c r="C64" s="26"/>
      <c r="D64" s="26" t="s">
        <v>23</v>
      </c>
      <c r="E64" s="26"/>
      <c r="F64" s="21" t="s">
        <v>24</v>
      </c>
      <c r="G64" s="28" t="s">
        <v>25</v>
      </c>
      <c r="H64" s="36"/>
    </row>
    <row r="65" ht="15.75" spans="2:8">
      <c r="B65" s="37" t="s">
        <v>26</v>
      </c>
      <c r="C65" s="38"/>
      <c r="D65" s="38" t="s">
        <v>27</v>
      </c>
      <c r="E65" s="38"/>
      <c r="F65" s="38" t="s">
        <v>28</v>
      </c>
      <c r="G65" s="39"/>
      <c r="H65" s="40"/>
    </row>
    <row r="66" ht="4.5" customHeight="1" spans="2:8">
      <c r="B66" s="41"/>
      <c r="H66" s="42"/>
    </row>
    <row r="67" ht="39" spans="2:8">
      <c r="B67" s="43" t="s">
        <v>30</v>
      </c>
      <c r="C67" s="44" t="s">
        <v>31</v>
      </c>
      <c r="D67" s="45" t="s">
        <v>32</v>
      </c>
      <c r="E67" s="44" t="s">
        <v>33</v>
      </c>
      <c r="F67" s="44" t="s">
        <v>34</v>
      </c>
      <c r="G67" s="44" t="s">
        <v>35</v>
      </c>
      <c r="H67" s="46" t="s">
        <v>36</v>
      </c>
    </row>
    <row r="68" customHeight="1" spans="2:8">
      <c r="B68" s="47">
        <v>1</v>
      </c>
      <c r="C68" s="48" t="s">
        <v>72</v>
      </c>
      <c r="D68" s="49">
        <v>82072000</v>
      </c>
      <c r="E68" s="50" t="s">
        <v>39</v>
      </c>
      <c r="F68" s="51">
        <v>1</v>
      </c>
      <c r="G68" s="52">
        <v>7855</v>
      </c>
      <c r="H68" s="53">
        <f>SUM(F68*G68)</f>
        <v>7855</v>
      </c>
    </row>
    <row r="69" spans="2:8">
      <c r="B69" s="54"/>
      <c r="C69" s="55" t="s">
        <v>73</v>
      </c>
      <c r="D69" s="56"/>
      <c r="E69" s="50"/>
      <c r="F69" s="51"/>
      <c r="G69" s="57"/>
      <c r="H69" s="53"/>
    </row>
    <row r="70" customHeight="1" spans="2:8">
      <c r="B70" s="47">
        <v>2</v>
      </c>
      <c r="C70" s="133" t="s">
        <v>74</v>
      </c>
      <c r="D70" s="49">
        <v>82072000</v>
      </c>
      <c r="E70" s="50" t="s">
        <v>39</v>
      </c>
      <c r="F70" s="51">
        <v>1</v>
      </c>
      <c r="G70" s="57">
        <v>8925</v>
      </c>
      <c r="H70" s="53">
        <f>SUM(F70*G70)</f>
        <v>8925</v>
      </c>
    </row>
    <row r="71" spans="2:8">
      <c r="B71" s="54"/>
      <c r="C71" s="55" t="s">
        <v>75</v>
      </c>
      <c r="D71" s="56"/>
      <c r="E71" s="50"/>
      <c r="F71" s="51"/>
      <c r="G71" s="57"/>
      <c r="H71" s="53"/>
    </row>
    <row r="72" customHeight="1" spans="2:8">
      <c r="B72" s="62"/>
      <c r="C72" s="32"/>
      <c r="D72" s="58"/>
      <c r="E72" s="50"/>
      <c r="F72" s="51"/>
      <c r="G72" s="57"/>
      <c r="H72" s="53"/>
    </row>
    <row r="73" spans="2:8">
      <c r="B73" s="62"/>
      <c r="C73" s="60"/>
      <c r="D73" s="56"/>
      <c r="E73" s="50"/>
      <c r="F73" s="51"/>
      <c r="G73" s="57"/>
      <c r="H73" s="53"/>
    </row>
    <row r="74" spans="2:8">
      <c r="B74" s="62"/>
      <c r="C74" s="32"/>
      <c r="D74" s="63"/>
      <c r="E74" s="50"/>
      <c r="F74" s="51"/>
      <c r="G74" s="57"/>
      <c r="H74" s="53"/>
    </row>
    <row r="75" spans="2:8">
      <c r="B75" s="62"/>
      <c r="C75" s="64"/>
      <c r="D75" s="63"/>
      <c r="E75" s="50"/>
      <c r="F75" s="51"/>
      <c r="G75" s="57"/>
      <c r="H75" s="53"/>
    </row>
    <row r="76" spans="2:8">
      <c r="B76" s="62"/>
      <c r="C76" s="32"/>
      <c r="D76" s="63"/>
      <c r="E76" s="50"/>
      <c r="F76" s="51"/>
      <c r="G76" s="57"/>
      <c r="H76" s="53"/>
    </row>
    <row r="77" spans="2:8">
      <c r="B77" s="62"/>
      <c r="C77" s="65"/>
      <c r="D77" s="27"/>
      <c r="E77" s="27"/>
      <c r="F77" s="66"/>
      <c r="G77" s="57"/>
      <c r="H77" s="53"/>
    </row>
    <row r="78" spans="2:8">
      <c r="B78" s="62"/>
      <c r="C78" s="32"/>
      <c r="D78" s="63"/>
      <c r="E78" s="50"/>
      <c r="F78" s="51"/>
      <c r="G78" s="57"/>
      <c r="H78" s="53"/>
    </row>
    <row r="79" spans="2:8">
      <c r="B79" s="62"/>
      <c r="C79" s="65"/>
      <c r="D79" s="27"/>
      <c r="E79" s="27"/>
      <c r="F79" s="66"/>
      <c r="G79" s="57"/>
      <c r="H79" s="53"/>
    </row>
    <row r="80" spans="2:8">
      <c r="B80" s="62"/>
      <c r="C80" s="67"/>
      <c r="D80" s="63"/>
      <c r="E80" s="50"/>
      <c r="F80" s="51"/>
      <c r="G80" s="68"/>
      <c r="H80" s="69"/>
    </row>
    <row r="81" spans="2:9">
      <c r="B81" s="20"/>
      <c r="C81" s="65"/>
      <c r="D81" s="21"/>
      <c r="E81" s="21"/>
      <c r="F81" s="66"/>
      <c r="G81" s="70"/>
      <c r="H81" s="69"/>
    </row>
    <row r="82" spans="2:9">
      <c r="B82" s="62"/>
      <c r="C82" s="32"/>
      <c r="D82" s="63"/>
      <c r="E82" s="50"/>
      <c r="F82" s="51"/>
      <c r="G82" s="70"/>
      <c r="H82" s="69"/>
    </row>
    <row r="83" spans="2:9">
      <c r="B83" s="20"/>
      <c r="C83" s="65"/>
      <c r="D83" s="21"/>
      <c r="E83" s="21"/>
      <c r="F83" s="66"/>
      <c r="G83" s="70"/>
      <c r="H83" s="69"/>
    </row>
    <row r="84" ht="21" spans="2:9">
      <c r="B84" s="71" t="s">
        <v>42</v>
      </c>
      <c r="C84" s="72"/>
      <c r="D84" s="66" t="s">
        <v>43</v>
      </c>
      <c r="E84" s="73"/>
      <c r="F84" s="27">
        <f>SUM(F68:F83)</f>
        <v>2</v>
      </c>
      <c r="G84" s="21"/>
      <c r="H84" s="74"/>
    </row>
    <row r="85" spans="2:9">
      <c r="B85" s="75"/>
      <c r="C85" s="76"/>
      <c r="D85" s="76"/>
      <c r="E85" s="77"/>
      <c r="F85" s="26" t="s">
        <v>44</v>
      </c>
      <c r="G85" s="26"/>
      <c r="H85" s="78">
        <f>SUM(H68:H84)</f>
        <v>16780</v>
      </c>
    </row>
    <row r="86" spans="2:9">
      <c r="B86" s="79" t="s">
        <v>45</v>
      </c>
      <c r="C86" s="80"/>
      <c r="E86" s="81"/>
      <c r="F86" s="21" t="s">
        <v>46</v>
      </c>
      <c r="G86" s="82">
        <v>0.09</v>
      </c>
      <c r="H86" s="78">
        <f>SUM(H85*G86)</f>
        <v>1510.2</v>
      </c>
    </row>
    <row r="87" spans="2:9">
      <c r="B87" s="83" t="s">
        <v>47</v>
      </c>
      <c r="C87" s="84"/>
      <c r="E87" s="81"/>
      <c r="F87" s="21" t="s">
        <v>48</v>
      </c>
      <c r="G87" s="82">
        <v>0.09</v>
      </c>
      <c r="H87" s="78">
        <f>SUM(H85*G87)</f>
        <v>1510.2</v>
      </c>
    </row>
    <row r="88" spans="2:9">
      <c r="B88" s="83" t="s">
        <v>49</v>
      </c>
      <c r="C88" s="84"/>
      <c r="E88" s="81"/>
      <c r="F88" s="21" t="s">
        <v>50</v>
      </c>
      <c r="G88" s="82">
        <v>0.18</v>
      </c>
      <c r="H88" s="85" t="s">
        <v>51</v>
      </c>
    </row>
    <row r="89" spans="2:9">
      <c r="B89" s="83" t="s">
        <v>52</v>
      </c>
      <c r="C89" s="84"/>
      <c r="E89" s="81"/>
      <c r="F89" s="86" t="s">
        <v>53</v>
      </c>
      <c r="G89" s="87"/>
      <c r="H89" s="78">
        <f>SUM(H86:H88)</f>
        <v>3020.4</v>
      </c>
    </row>
    <row r="90" customHeight="1" spans="2:9">
      <c r="B90" s="83" t="s">
        <v>54</v>
      </c>
      <c r="C90" s="84"/>
      <c r="E90" s="81"/>
      <c r="F90" s="88" t="s">
        <v>55</v>
      </c>
      <c r="G90" s="88"/>
      <c r="H90" s="89">
        <f>SUM(H85+H89+H92)</f>
        <v>19800</v>
      </c>
    </row>
    <row r="91" spans="2:9">
      <c r="B91" s="90"/>
      <c r="C91" s="91"/>
      <c r="D91" s="91"/>
      <c r="E91" s="92"/>
      <c r="F91" s="93" t="s">
        <v>56</v>
      </c>
      <c r="G91" s="93"/>
      <c r="H91" s="74"/>
      <c r="I91" s="59"/>
    </row>
    <row r="92" ht="29.4" customHeight="1" spans="2:9">
      <c r="B92" s="94" t="s">
        <v>76</v>
      </c>
      <c r="C92" s="95"/>
      <c r="D92" s="95"/>
      <c r="E92" s="96"/>
      <c r="F92" s="97" t="s">
        <v>58</v>
      </c>
      <c r="G92" s="98"/>
      <c r="H92" s="99">
        <v>-0.4</v>
      </c>
    </row>
    <row r="93" ht="29.25" customHeight="1" spans="2:9">
      <c r="B93" s="100" t="s">
        <v>59</v>
      </c>
      <c r="C93" s="101"/>
      <c r="D93" s="101"/>
      <c r="E93" s="102" t="s">
        <v>60</v>
      </c>
      <c r="F93" s="102"/>
      <c r="G93" s="102"/>
      <c r="H93" s="103"/>
    </row>
    <row r="94" ht="18.75" spans="2:9">
      <c r="B94" s="104" t="s">
        <v>61</v>
      </c>
      <c r="E94" s="105" t="s">
        <v>62</v>
      </c>
      <c r="F94" s="105"/>
      <c r="G94" s="105"/>
      <c r="H94" s="106"/>
    </row>
    <row r="95" ht="18.75" spans="2:9">
      <c r="B95" s="108" t="s">
        <v>63</v>
      </c>
      <c r="C95" s="109"/>
      <c r="D95" s="110"/>
      <c r="E95" s="110"/>
      <c r="F95" s="111"/>
      <c r="G95" s="111"/>
      <c r="H95" s="42"/>
    </row>
    <row r="96" spans="2:9">
      <c r="B96" s="112" t="s">
        <v>64</v>
      </c>
      <c r="C96" s="113"/>
      <c r="D96" s="113"/>
      <c r="E96" s="113"/>
      <c r="F96" s="114"/>
      <c r="G96" s="111"/>
      <c r="H96" s="42"/>
    </row>
    <row r="97" spans="2:8">
      <c r="B97" s="112" t="s">
        <v>65</v>
      </c>
      <c r="C97" s="113"/>
      <c r="D97" s="113"/>
      <c r="E97" s="113"/>
      <c r="F97" s="114"/>
      <c r="G97" s="111"/>
      <c r="H97" s="42"/>
    </row>
    <row r="98" spans="2:8">
      <c r="B98" s="41"/>
      <c r="F98" s="111"/>
      <c r="G98" s="111"/>
      <c r="H98" s="42"/>
    </row>
    <row r="99" ht="15.75" spans="2:8">
      <c r="B99" s="115" t="s">
        <v>66</v>
      </c>
      <c r="C99" s="116"/>
      <c r="D99" s="116"/>
      <c r="E99" s="116"/>
      <c r="F99" s="116"/>
      <c r="G99" s="116"/>
      <c r="H99" s="117" t="s">
        <v>67</v>
      </c>
    </row>
    <row r="100" spans="2:8">
      <c r="H100" s="118"/>
    </row>
    <row r="101" ht="18" customHeight="1" spans="2:8">
      <c r="B101" s="120" t="s">
        <v>69</v>
      </c>
      <c r="C101" s="120"/>
      <c r="D101" s="120"/>
      <c r="E101" s="120"/>
      <c r="F101" s="120"/>
      <c r="G101" s="120"/>
      <c r="H101" s="120"/>
    </row>
    <row r="102" ht="21" spans="2:8">
      <c r="B102" s="2" t="s">
        <v>1</v>
      </c>
      <c r="C102" s="3"/>
      <c r="D102" s="3"/>
      <c r="E102" s="3"/>
      <c r="F102" s="3"/>
      <c r="G102" s="3"/>
      <c r="H102" s="4"/>
    </row>
    <row r="103" ht="28.5" spans="2:8">
      <c r="B103" s="5" t="s">
        <v>2</v>
      </c>
      <c r="C103" s="6"/>
      <c r="D103" s="6"/>
      <c r="E103" s="6"/>
      <c r="F103" s="6"/>
      <c r="G103" s="6"/>
      <c r="H103" s="7"/>
    </row>
    <row r="104" spans="2:8">
      <c r="B104" s="8" t="s">
        <v>3</v>
      </c>
      <c r="C104" s="9"/>
      <c r="D104" s="9"/>
      <c r="E104" s="9"/>
      <c r="F104" s="9"/>
      <c r="G104" s="9"/>
      <c r="H104" s="10"/>
    </row>
    <row r="105" ht="21.75" spans="2:8">
      <c r="B105" s="11" t="s">
        <v>4</v>
      </c>
      <c r="C105" s="12"/>
      <c r="D105" s="12"/>
      <c r="E105" s="12"/>
      <c r="F105" s="12"/>
      <c r="G105" s="12"/>
      <c r="H105" s="13"/>
    </row>
    <row r="106" spans="2:8">
      <c r="B106" s="14" t="s">
        <v>5</v>
      </c>
      <c r="C106" s="15"/>
      <c r="D106" s="15"/>
      <c r="E106" s="15"/>
      <c r="F106" s="15"/>
      <c r="G106" s="15"/>
      <c r="H106" s="16"/>
    </row>
    <row r="107" spans="2:8">
      <c r="B107" s="17" t="s">
        <v>6</v>
      </c>
      <c r="C107" s="18"/>
      <c r="D107" s="18"/>
      <c r="E107" s="18"/>
      <c r="F107" s="18"/>
      <c r="G107" s="18"/>
      <c r="H107" s="19"/>
    </row>
    <row r="108" ht="15.75" customHeight="1" spans="2:8">
      <c r="B108" s="20" t="s">
        <v>7</v>
      </c>
      <c r="C108" s="21"/>
      <c r="D108" s="22" t="s">
        <v>8</v>
      </c>
      <c r="E108" s="23"/>
      <c r="F108" s="23"/>
      <c r="G108" s="23"/>
      <c r="H108" s="24"/>
    </row>
    <row r="109" ht="21" spans="2:8">
      <c r="B109" s="25" t="s">
        <v>9</v>
      </c>
      <c r="C109" s="21"/>
      <c r="D109" s="26" t="s">
        <v>10</v>
      </c>
      <c r="E109" s="26"/>
      <c r="F109" s="27" t="s">
        <v>70</v>
      </c>
      <c r="G109" s="28" t="s">
        <v>12</v>
      </c>
      <c r="H109" s="29">
        <v>46288</v>
      </c>
    </row>
    <row r="110" spans="2:8">
      <c r="B110" s="20" t="s">
        <v>13</v>
      </c>
      <c r="C110" s="21"/>
      <c r="D110" s="26" t="s">
        <v>14</v>
      </c>
      <c r="E110" s="26"/>
      <c r="F110" s="27" t="s">
        <v>70</v>
      </c>
      <c r="G110" s="28" t="s">
        <v>12</v>
      </c>
      <c r="H110" s="29">
        <v>46288</v>
      </c>
    </row>
    <row r="111" spans="2:8">
      <c r="B111" s="20" t="s">
        <v>15</v>
      </c>
      <c r="C111" s="21"/>
      <c r="D111" s="26" t="s">
        <v>16</v>
      </c>
      <c r="E111" s="26"/>
      <c r="F111" s="30"/>
      <c r="G111" s="31" t="s">
        <v>12</v>
      </c>
      <c r="H111" s="29"/>
    </row>
    <row r="112" spans="2:8">
      <c r="B112" s="20" t="s">
        <v>17</v>
      </c>
      <c r="C112" s="21"/>
      <c r="D112" s="26" t="s">
        <v>18</v>
      </c>
      <c r="E112" s="26"/>
      <c r="F112" s="32" t="s">
        <v>71</v>
      </c>
      <c r="G112" s="31" t="s">
        <v>12</v>
      </c>
      <c r="H112" s="29">
        <v>46287</v>
      </c>
    </row>
    <row r="113" spans="2:8">
      <c r="B113" s="20" t="s">
        <v>20</v>
      </c>
      <c r="C113" s="21"/>
      <c r="D113" s="26" t="s">
        <v>21</v>
      </c>
      <c r="E113" s="26"/>
      <c r="F113" s="33"/>
      <c r="G113" s="34" t="s">
        <v>12</v>
      </c>
      <c r="H113" s="29"/>
    </row>
    <row r="114" spans="2:8">
      <c r="B114" s="35" t="s">
        <v>22</v>
      </c>
      <c r="C114" s="26"/>
      <c r="D114" s="26" t="s">
        <v>23</v>
      </c>
      <c r="E114" s="26"/>
      <c r="F114" s="21" t="s">
        <v>24</v>
      </c>
      <c r="G114" s="28" t="s">
        <v>25</v>
      </c>
      <c r="H114" s="36"/>
    </row>
    <row r="115" ht="15.75" spans="2:8">
      <c r="B115" s="37" t="s">
        <v>26</v>
      </c>
      <c r="C115" s="38"/>
      <c r="D115" s="38" t="s">
        <v>27</v>
      </c>
      <c r="E115" s="38"/>
      <c r="F115" s="38" t="s">
        <v>28</v>
      </c>
      <c r="G115" s="39"/>
      <c r="H115" s="40"/>
    </row>
    <row r="116" ht="3.75" customHeight="1" spans="2:8">
      <c r="B116" s="41"/>
      <c r="H116" s="42"/>
    </row>
    <row r="117" ht="39" spans="2:8">
      <c r="B117" s="43" t="s">
        <v>30</v>
      </c>
      <c r="C117" s="44" t="s">
        <v>31</v>
      </c>
      <c r="D117" s="45" t="s">
        <v>32</v>
      </c>
      <c r="E117" s="44" t="s">
        <v>33</v>
      </c>
      <c r="F117" s="44" t="s">
        <v>34</v>
      </c>
      <c r="G117" s="44" t="s">
        <v>35</v>
      </c>
      <c r="H117" s="46" t="s">
        <v>36</v>
      </c>
    </row>
    <row r="118" customHeight="1" spans="2:8">
      <c r="B118" s="47">
        <v>1</v>
      </c>
      <c r="C118" s="48" t="s">
        <v>72</v>
      </c>
      <c r="D118" s="49">
        <v>82072000</v>
      </c>
      <c r="E118" s="50" t="s">
        <v>39</v>
      </c>
      <c r="F118" s="51">
        <v>1</v>
      </c>
      <c r="G118" s="52">
        <v>7855</v>
      </c>
      <c r="H118" s="53">
        <f>SUM(F118*G118)</f>
        <v>7855</v>
      </c>
    </row>
    <row r="119" spans="2:8">
      <c r="B119" s="54"/>
      <c r="C119" s="55" t="s">
        <v>73</v>
      </c>
      <c r="D119" s="56"/>
      <c r="E119" s="50"/>
      <c r="F119" s="51"/>
      <c r="G119" s="57"/>
      <c r="H119" s="53"/>
    </row>
    <row r="120" spans="2:8">
      <c r="B120" s="47">
        <v>2</v>
      </c>
      <c r="C120" s="133" t="s">
        <v>74</v>
      </c>
      <c r="D120" s="49">
        <v>82072000</v>
      </c>
      <c r="E120" s="50" t="s">
        <v>39</v>
      </c>
      <c r="F120" s="51">
        <v>1</v>
      </c>
      <c r="G120" s="57">
        <v>8925</v>
      </c>
      <c r="H120" s="53">
        <f>SUM(F120*G120)</f>
        <v>8925</v>
      </c>
    </row>
    <row r="121" spans="2:8">
      <c r="B121" s="54"/>
      <c r="C121" s="55" t="s">
        <v>75</v>
      </c>
      <c r="D121" s="56"/>
      <c r="E121" s="50"/>
      <c r="F121" s="51"/>
      <c r="G121" s="57"/>
      <c r="H121" s="53"/>
    </row>
    <row r="122" spans="2:8">
      <c r="B122" s="62"/>
      <c r="C122" s="32"/>
      <c r="D122" s="58"/>
      <c r="E122" s="50"/>
      <c r="F122" s="51"/>
      <c r="G122" s="57"/>
      <c r="H122" s="53"/>
    </row>
    <row r="123" spans="2:8">
      <c r="B123" s="62"/>
      <c r="C123" s="60"/>
      <c r="D123" s="56"/>
      <c r="E123" s="50"/>
      <c r="F123" s="51"/>
      <c r="G123" s="57"/>
      <c r="H123" s="53"/>
    </row>
    <row r="124" spans="2:8">
      <c r="B124" s="62"/>
      <c r="C124" s="32"/>
      <c r="D124" s="63"/>
      <c r="E124" s="50"/>
      <c r="F124" s="51"/>
      <c r="G124" s="57"/>
      <c r="H124" s="53"/>
    </row>
    <row r="125" spans="2:8">
      <c r="B125" s="62"/>
      <c r="C125" s="64"/>
      <c r="D125" s="63"/>
      <c r="E125" s="50"/>
      <c r="F125" s="51"/>
      <c r="G125" s="57"/>
      <c r="H125" s="53"/>
    </row>
    <row r="126" spans="2:8">
      <c r="B126" s="62"/>
      <c r="C126" s="32"/>
      <c r="D126" s="63"/>
      <c r="E126" s="50"/>
      <c r="F126" s="51"/>
      <c r="G126" s="57"/>
      <c r="H126" s="53"/>
    </row>
    <row r="127" spans="2:8">
      <c r="B127" s="62"/>
      <c r="C127" s="65"/>
      <c r="D127" s="27"/>
      <c r="E127" s="27"/>
      <c r="F127" s="66"/>
      <c r="G127" s="57"/>
      <c r="H127" s="53"/>
    </row>
    <row r="128" spans="2:8">
      <c r="B128" s="62"/>
      <c r="C128" s="32"/>
      <c r="D128" s="63"/>
      <c r="E128" s="50"/>
      <c r="F128" s="51"/>
      <c r="G128" s="57"/>
      <c r="H128" s="53"/>
    </row>
    <row r="129" spans="2:8">
      <c r="B129" s="62"/>
      <c r="C129" s="65"/>
      <c r="D129" s="27"/>
      <c r="E129" s="27"/>
      <c r="F129" s="66"/>
      <c r="G129" s="57"/>
      <c r="H129" s="53"/>
    </row>
    <row r="130" spans="2:8">
      <c r="B130" s="62"/>
      <c r="C130" s="67"/>
      <c r="D130" s="63"/>
      <c r="E130" s="50"/>
      <c r="F130" s="51"/>
      <c r="G130" s="68"/>
      <c r="H130" s="69"/>
    </row>
    <row r="131" spans="2:8">
      <c r="B131" s="20"/>
      <c r="C131" s="65"/>
      <c r="D131" s="21"/>
      <c r="E131" s="21"/>
      <c r="F131" s="66"/>
      <c r="G131" s="70"/>
      <c r="H131" s="69"/>
    </row>
    <row r="132" spans="2:8">
      <c r="B132" s="62"/>
      <c r="C132" s="32"/>
      <c r="D132" s="63"/>
      <c r="E132" s="50"/>
      <c r="F132" s="51"/>
      <c r="G132" s="70"/>
      <c r="H132" s="69"/>
    </row>
    <row r="133" spans="2:8">
      <c r="B133" s="20"/>
      <c r="C133" s="65"/>
      <c r="D133" s="21"/>
      <c r="E133" s="21"/>
      <c r="F133" s="66"/>
      <c r="G133" s="70"/>
      <c r="H133" s="69"/>
    </row>
    <row r="134" ht="21" spans="2:8">
      <c r="B134" s="71" t="s">
        <v>42</v>
      </c>
      <c r="C134" s="72"/>
      <c r="D134" s="66" t="s">
        <v>43</v>
      </c>
      <c r="E134" s="73"/>
      <c r="F134" s="27">
        <f>SUM(F118:F133)</f>
        <v>2</v>
      </c>
      <c r="G134" s="21"/>
      <c r="H134" s="74"/>
    </row>
    <row r="135" spans="2:8">
      <c r="B135" s="75"/>
      <c r="C135" s="76"/>
      <c r="D135" s="76"/>
      <c r="E135" s="77"/>
      <c r="F135" s="26" t="s">
        <v>44</v>
      </c>
      <c r="G135" s="26"/>
      <c r="H135" s="78">
        <f>SUM(H118:H134)</f>
        <v>16780</v>
      </c>
    </row>
    <row r="136" spans="2:8">
      <c r="B136" s="79" t="s">
        <v>45</v>
      </c>
      <c r="C136" s="80"/>
      <c r="E136" s="81"/>
      <c r="F136" s="21" t="s">
        <v>46</v>
      </c>
      <c r="G136" s="82">
        <v>0.09</v>
      </c>
      <c r="H136" s="78">
        <f>SUM(H135*G136)</f>
        <v>1510.2</v>
      </c>
    </row>
    <row r="137" spans="2:8">
      <c r="B137" s="83" t="s">
        <v>47</v>
      </c>
      <c r="C137" s="84"/>
      <c r="E137" s="81"/>
      <c r="F137" s="21" t="s">
        <v>48</v>
      </c>
      <c r="G137" s="82">
        <v>0.09</v>
      </c>
      <c r="H137" s="78">
        <f>SUM(H135*G137)</f>
        <v>1510.2</v>
      </c>
    </row>
    <row r="138" spans="2:8">
      <c r="B138" s="83" t="s">
        <v>49</v>
      </c>
      <c r="C138" s="84"/>
      <c r="E138" s="81"/>
      <c r="F138" s="21" t="s">
        <v>50</v>
      </c>
      <c r="G138" s="82">
        <v>0.18</v>
      </c>
      <c r="H138" s="85" t="s">
        <v>51</v>
      </c>
    </row>
    <row r="139" spans="2:8">
      <c r="B139" s="83" t="s">
        <v>52</v>
      </c>
      <c r="C139" s="84"/>
      <c r="E139" s="81"/>
      <c r="F139" s="86" t="s">
        <v>53</v>
      </c>
      <c r="G139" s="87"/>
      <c r="H139" s="78">
        <f>SUM(H136:H138)</f>
        <v>3020.4</v>
      </c>
    </row>
    <row r="140" spans="2:8">
      <c r="B140" s="83" t="s">
        <v>54</v>
      </c>
      <c r="C140" s="84"/>
      <c r="E140" s="81"/>
      <c r="F140" s="88" t="s">
        <v>55</v>
      </c>
      <c r="G140" s="88"/>
      <c r="H140" s="89">
        <f>SUM(H135+H139+H142)</f>
        <v>19800</v>
      </c>
    </row>
    <row r="141" spans="2:8">
      <c r="B141" s="90"/>
      <c r="C141" s="91"/>
      <c r="D141" s="91"/>
      <c r="E141" s="92"/>
      <c r="F141" s="93" t="s">
        <v>56</v>
      </c>
      <c r="G141" s="93"/>
      <c r="H141" s="74"/>
    </row>
    <row r="142" ht="27" customHeight="1" spans="2:8">
      <c r="B142" s="94" t="s">
        <v>76</v>
      </c>
      <c r="C142" s="95"/>
      <c r="D142" s="95"/>
      <c r="E142" s="96"/>
      <c r="F142" s="97" t="s">
        <v>58</v>
      </c>
      <c r="G142" s="98"/>
      <c r="H142" s="99">
        <v>-0.4</v>
      </c>
    </row>
    <row r="143" spans="2:8">
      <c r="B143" s="100" t="s">
        <v>59</v>
      </c>
      <c r="C143" s="101"/>
      <c r="D143" s="101"/>
      <c r="E143" s="102" t="s">
        <v>60</v>
      </c>
      <c r="F143" s="102"/>
      <c r="G143" s="102"/>
      <c r="H143" s="103"/>
    </row>
    <row r="144" ht="18.75" spans="2:8">
      <c r="B144" s="104" t="s">
        <v>61</v>
      </c>
      <c r="E144" s="105" t="s">
        <v>62</v>
      </c>
      <c r="F144" s="105"/>
      <c r="G144" s="105"/>
      <c r="H144" s="106"/>
    </row>
    <row r="145" ht="18.75" spans="2:8">
      <c r="B145" s="108" t="s">
        <v>63</v>
      </c>
      <c r="C145" s="109"/>
      <c r="D145" s="110"/>
      <c r="E145" s="110"/>
      <c r="F145" s="111"/>
      <c r="G145" s="111"/>
      <c r="H145" s="42"/>
    </row>
    <row r="146" spans="2:8">
      <c r="B146" s="112" t="s">
        <v>64</v>
      </c>
      <c r="C146" s="113"/>
      <c r="D146" s="113"/>
      <c r="E146" s="113"/>
      <c r="F146" s="114"/>
      <c r="G146" s="111"/>
      <c r="H146" s="42"/>
    </row>
    <row r="147" spans="2:8">
      <c r="B147" s="112" t="s">
        <v>65</v>
      </c>
      <c r="C147" s="113"/>
      <c r="D147" s="113"/>
      <c r="E147" s="113"/>
      <c r="F147" s="114"/>
      <c r="G147" s="111"/>
      <c r="H147" s="42"/>
    </row>
    <row r="148" spans="2:8">
      <c r="B148" s="41"/>
      <c r="F148" s="111"/>
      <c r="G148" s="111"/>
      <c r="H148" s="42"/>
    </row>
    <row r="149" ht="15.75" spans="2:8">
      <c r="B149" s="115" t="s">
        <v>66</v>
      </c>
      <c r="C149" s="116"/>
      <c r="D149" s="116"/>
      <c r="E149" s="116"/>
      <c r="F149" s="116"/>
      <c r="G149" s="116"/>
      <c r="H149" s="117" t="s">
        <v>67</v>
      </c>
    </row>
  </sheetData>
  <mergeCells count="48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4:C34"/>
    <mergeCell ref="D34:E34"/>
    <mergeCell ref="F39:G39"/>
    <mergeCell ref="B42:E42"/>
    <mergeCell ref="F42:G42"/>
    <mergeCell ref="E43:H43"/>
    <mergeCell ref="E44:H44"/>
    <mergeCell ref="B51:H51"/>
    <mergeCell ref="B52:H52"/>
    <mergeCell ref="B53:H53"/>
    <mergeCell ref="B54:H54"/>
    <mergeCell ref="B55:H55"/>
    <mergeCell ref="B56:H56"/>
    <mergeCell ref="B57:H57"/>
    <mergeCell ref="D58:H58"/>
    <mergeCell ref="G64:H64"/>
    <mergeCell ref="B84:C84"/>
    <mergeCell ref="D84:E84"/>
    <mergeCell ref="F89:G89"/>
    <mergeCell ref="B92:E92"/>
    <mergeCell ref="F92:G92"/>
    <mergeCell ref="E93:H93"/>
    <mergeCell ref="E94:H94"/>
    <mergeCell ref="B101:H101"/>
    <mergeCell ref="B102:H102"/>
    <mergeCell ref="B103:H103"/>
    <mergeCell ref="B104:H104"/>
    <mergeCell ref="B105:H105"/>
    <mergeCell ref="B106:H106"/>
    <mergeCell ref="B107:H107"/>
    <mergeCell ref="D108:H108"/>
    <mergeCell ref="G114:H114"/>
    <mergeCell ref="B134:C134"/>
    <mergeCell ref="D134:E134"/>
    <mergeCell ref="F139:G139"/>
    <mergeCell ref="B142:E142"/>
    <mergeCell ref="F142:G142"/>
    <mergeCell ref="E143:H143"/>
    <mergeCell ref="E144:H144"/>
  </mergeCells>
  <pageMargins left="0.17" right="0.17" top="0.17" bottom="0.17" header="10.9" footer="0.79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149"/>
  <sheetViews>
    <sheetView topLeftCell="A3" workbookViewId="0">
      <selection activeCell="B98" sqref="B98:H144"/>
    </sheetView>
  </sheetViews>
  <sheetFormatPr defaultColWidth="9" defaultRowHeight="15"/>
  <cols>
    <col min="1" max="1" width="0.552380952380952" customWidth="1"/>
    <col min="2" max="2" width="3.66666666666667" customWidth="1"/>
    <col min="3" max="3" width="38.8857142857143" customWidth="1"/>
    <col min="4" max="4" width="9.55238095238095" customWidth="1"/>
    <col min="5" max="5" width="7.88571428571429" customWidth="1"/>
    <col min="6" max="6" width="15.8857142857143" customWidth="1"/>
    <col min="7" max="7" width="11.8857142857143" customWidth="1"/>
    <col min="8" max="8" width="11.6666666666667" customWidth="1"/>
    <col min="9" max="9" width="0.666666666666667" customWidth="1"/>
  </cols>
  <sheetData>
    <row r="1" ht="15.75" spans="2:8">
      <c r="B1" s="1" t="s">
        <v>0</v>
      </c>
      <c r="C1" s="1"/>
      <c r="D1" s="1"/>
      <c r="E1" s="1"/>
      <c r="F1" s="1"/>
      <c r="G1" s="1"/>
      <c r="H1" s="1"/>
    </row>
    <row r="2" ht="21" spans="2:8">
      <c r="B2" s="2" t="s">
        <v>1</v>
      </c>
      <c r="C2" s="3"/>
      <c r="D2" s="3"/>
      <c r="E2" s="3"/>
      <c r="F2" s="3"/>
      <c r="G2" s="3"/>
      <c r="H2" s="4"/>
    </row>
    <row r="3" ht="28.5" spans="2:8">
      <c r="B3" s="5" t="s">
        <v>2</v>
      </c>
      <c r="C3" s="6"/>
      <c r="D3" s="6"/>
      <c r="E3" s="6"/>
      <c r="F3" s="6"/>
      <c r="G3" s="6"/>
      <c r="H3" s="7"/>
    </row>
    <row r="4" spans="2:8">
      <c r="B4" s="8" t="s">
        <v>3</v>
      </c>
      <c r="C4" s="9"/>
      <c r="D4" s="9"/>
      <c r="E4" s="9"/>
      <c r="F4" s="9"/>
      <c r="G4" s="9"/>
      <c r="H4" s="10"/>
    </row>
    <row r="5" ht="21.75" spans="2:8">
      <c r="B5" s="11" t="s">
        <v>4</v>
      </c>
      <c r="C5" s="12"/>
      <c r="D5" s="12"/>
      <c r="E5" s="12"/>
      <c r="F5" s="12"/>
      <c r="G5" s="12"/>
      <c r="H5" s="13"/>
    </row>
    <row r="6" spans="2:8">
      <c r="B6" s="14" t="s">
        <v>5</v>
      </c>
      <c r="C6" s="15"/>
      <c r="D6" s="15"/>
      <c r="E6" s="15"/>
      <c r="F6" s="15"/>
      <c r="G6" s="15"/>
      <c r="H6" s="16"/>
    </row>
    <row r="7" spans="2:8">
      <c r="B7" s="17" t="s">
        <v>6</v>
      </c>
      <c r="C7" s="18"/>
      <c r="D7" s="18"/>
      <c r="E7" s="18"/>
      <c r="F7" s="18"/>
      <c r="G7" s="18"/>
      <c r="H7" s="19"/>
    </row>
    <row r="8" ht="15.75" customHeight="1" spans="2:8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8">
      <c r="B9" s="25" t="s">
        <v>9</v>
      </c>
      <c r="C9" s="21"/>
      <c r="D9" s="26" t="s">
        <v>10</v>
      </c>
      <c r="E9" s="26"/>
      <c r="F9" s="27" t="s">
        <v>77</v>
      </c>
      <c r="G9" s="28" t="s">
        <v>12</v>
      </c>
      <c r="H9" s="29">
        <v>46288</v>
      </c>
    </row>
    <row r="10" spans="2:8">
      <c r="B10" s="20" t="s">
        <v>13</v>
      </c>
      <c r="C10" s="21"/>
      <c r="D10" s="26" t="s">
        <v>14</v>
      </c>
      <c r="E10" s="26"/>
      <c r="F10" s="27" t="s">
        <v>77</v>
      </c>
      <c r="G10" s="28" t="s">
        <v>12</v>
      </c>
      <c r="H10" s="29">
        <v>46288</v>
      </c>
    </row>
    <row r="11" spans="2:8">
      <c r="B11" s="20" t="s">
        <v>15</v>
      </c>
      <c r="C11" s="21"/>
      <c r="D11" s="26" t="s">
        <v>16</v>
      </c>
      <c r="E11" s="26"/>
      <c r="F11" s="30"/>
      <c r="G11" s="31" t="s">
        <v>12</v>
      </c>
      <c r="H11" s="29"/>
    </row>
    <row r="12" spans="2:8">
      <c r="B12" s="20" t="s">
        <v>17</v>
      </c>
      <c r="C12" s="21"/>
      <c r="D12" s="26" t="s">
        <v>18</v>
      </c>
      <c r="E12" s="26"/>
      <c r="F12" s="32" t="s">
        <v>78</v>
      </c>
      <c r="G12" s="31" t="s">
        <v>12</v>
      </c>
      <c r="H12" s="29">
        <v>46287</v>
      </c>
    </row>
    <row r="13" spans="2:8">
      <c r="B13" s="20" t="s">
        <v>20</v>
      </c>
      <c r="C13" s="21"/>
      <c r="D13" s="26" t="s">
        <v>21</v>
      </c>
      <c r="E13" s="26"/>
      <c r="F13" s="33"/>
      <c r="G13" s="34" t="s">
        <v>12</v>
      </c>
      <c r="H13" s="29"/>
    </row>
    <row r="14" spans="2:8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8">
      <c r="B15" s="37" t="s">
        <v>26</v>
      </c>
      <c r="C15" s="38"/>
      <c r="D15" s="38" t="s">
        <v>27</v>
      </c>
      <c r="E15" s="38"/>
      <c r="F15" s="38" t="s">
        <v>28</v>
      </c>
      <c r="G15" s="39"/>
      <c r="H15" s="40"/>
    </row>
    <row r="16" ht="3.75" customHeight="1" spans="2:8">
      <c r="B16" s="41"/>
      <c r="H16" s="42"/>
    </row>
    <row r="17" ht="39" spans="2:13">
      <c r="B17" s="43" t="s">
        <v>30</v>
      </c>
      <c r="C17" s="44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M17" t="s">
        <v>37</v>
      </c>
    </row>
    <row r="18" customHeight="1" spans="2:13">
      <c r="B18" s="47">
        <v>1</v>
      </c>
      <c r="C18" s="48" t="s">
        <v>79</v>
      </c>
      <c r="D18" s="49">
        <v>82073000</v>
      </c>
      <c r="E18" s="50" t="s">
        <v>39</v>
      </c>
      <c r="F18" s="51">
        <v>1</v>
      </c>
      <c r="G18" s="52">
        <v>22010</v>
      </c>
      <c r="H18" s="53">
        <f>SUM(F18*G18)</f>
        <v>22010</v>
      </c>
    </row>
    <row r="19" spans="2:13">
      <c r="B19" s="54"/>
      <c r="C19" s="55" t="s">
        <v>80</v>
      </c>
      <c r="D19" s="56"/>
      <c r="E19" s="50"/>
      <c r="F19" s="51"/>
      <c r="G19" s="57"/>
      <c r="H19" s="53"/>
    </row>
    <row r="20" customHeight="1" spans="2:13">
      <c r="B20" s="47"/>
      <c r="C20" s="133"/>
      <c r="D20" s="49"/>
      <c r="E20" s="50"/>
      <c r="F20" s="51"/>
      <c r="G20" s="57"/>
      <c r="H20" s="53"/>
      <c r="L20" s="59"/>
    </row>
    <row r="21" customHeight="1" spans="2:13">
      <c r="B21" s="54"/>
      <c r="C21" s="55"/>
      <c r="D21" s="56"/>
      <c r="E21" s="50"/>
      <c r="F21" s="51"/>
      <c r="G21" s="57"/>
      <c r="H21" s="53"/>
      <c r="L21" s="59"/>
    </row>
    <row r="22" spans="2:13">
      <c r="B22" s="62"/>
      <c r="C22" s="32"/>
      <c r="D22" s="58"/>
      <c r="E22" s="50"/>
      <c r="F22" s="51"/>
      <c r="G22" s="57"/>
      <c r="H22" s="53"/>
    </row>
    <row r="23" customHeight="1" spans="2:13">
      <c r="B23" s="62"/>
      <c r="C23" s="60"/>
      <c r="D23" s="56"/>
      <c r="E23" s="50"/>
      <c r="F23" s="51"/>
      <c r="G23" s="57"/>
      <c r="H23" s="53"/>
    </row>
    <row r="24" spans="2:13">
      <c r="B24" s="62"/>
      <c r="C24" s="32"/>
      <c r="D24" s="63"/>
      <c r="E24" s="50"/>
      <c r="F24" s="51"/>
      <c r="G24" s="57"/>
      <c r="H24" s="53"/>
    </row>
    <row r="25" spans="2:13">
      <c r="B25" s="62"/>
      <c r="C25" s="64"/>
      <c r="D25" s="63"/>
      <c r="E25" s="50"/>
      <c r="F25" s="51"/>
      <c r="G25" s="57"/>
      <c r="H25" s="53"/>
    </row>
    <row r="26" spans="2:13">
      <c r="B26" s="62"/>
      <c r="C26" s="32"/>
      <c r="D26" s="63"/>
      <c r="E26" s="50"/>
      <c r="F26" s="51"/>
      <c r="G26" s="57"/>
      <c r="H26" s="53"/>
    </row>
    <row r="27" spans="2:13">
      <c r="B27" s="62"/>
      <c r="C27" s="65"/>
      <c r="D27" s="27"/>
      <c r="E27" s="27"/>
      <c r="F27" s="66"/>
      <c r="G27" s="57"/>
      <c r="H27" s="53"/>
    </row>
    <row r="28" spans="2:13">
      <c r="B28" s="62"/>
      <c r="C28" s="32"/>
      <c r="D28" s="63"/>
      <c r="E28" s="50"/>
      <c r="F28" s="51"/>
      <c r="G28" s="57"/>
      <c r="H28" s="53"/>
    </row>
    <row r="29" spans="2:13">
      <c r="B29" s="62"/>
      <c r="C29" s="65"/>
      <c r="D29" s="27"/>
      <c r="E29" s="27"/>
      <c r="F29" s="66"/>
      <c r="G29" s="57"/>
      <c r="H29" s="53"/>
    </row>
    <row r="30" customHeight="1" spans="2:13">
      <c r="B30" s="62"/>
      <c r="C30" s="67"/>
      <c r="D30" s="63"/>
      <c r="E30" s="50"/>
      <c r="F30" s="51"/>
      <c r="G30" s="68"/>
      <c r="H30" s="69"/>
    </row>
    <row r="31" customHeight="1" spans="2:13">
      <c r="B31" s="20"/>
      <c r="C31" s="65"/>
      <c r="D31" s="21"/>
      <c r="E31" s="21"/>
      <c r="F31" s="66"/>
      <c r="G31" s="70"/>
      <c r="H31" s="69"/>
    </row>
    <row r="32" customHeight="1" spans="2:13">
      <c r="B32" s="62"/>
      <c r="C32" s="32"/>
      <c r="D32" s="63"/>
      <c r="E32" s="50"/>
      <c r="F32" s="51"/>
      <c r="G32" s="70"/>
      <c r="H32" s="69"/>
    </row>
    <row r="33" customHeight="1" spans="2:9">
      <c r="B33" s="20"/>
      <c r="C33" s="65"/>
      <c r="D33" s="21"/>
      <c r="E33" s="21"/>
      <c r="F33" s="66"/>
      <c r="G33" s="70"/>
      <c r="H33" s="69"/>
    </row>
    <row r="34" customHeight="1" spans="2:9">
      <c r="B34" s="71" t="s">
        <v>42</v>
      </c>
      <c r="C34" s="72"/>
      <c r="D34" s="66" t="s">
        <v>43</v>
      </c>
      <c r="E34" s="73"/>
      <c r="F34" s="27">
        <f>SUM(F18:F33)</f>
        <v>1</v>
      </c>
      <c r="G34" s="21"/>
      <c r="H34" s="74"/>
    </row>
    <row r="35" spans="2:9">
      <c r="B35" s="75"/>
      <c r="C35" s="76"/>
      <c r="D35" s="76"/>
      <c r="E35" s="77"/>
      <c r="F35" s="26" t="s">
        <v>44</v>
      </c>
      <c r="G35" s="26"/>
      <c r="H35" s="78">
        <f>SUM(H18:H34)</f>
        <v>22010</v>
      </c>
    </row>
    <row r="36" spans="2:9">
      <c r="B36" s="79" t="s">
        <v>45</v>
      </c>
      <c r="C36" s="80"/>
      <c r="E36" s="81"/>
      <c r="F36" s="21" t="s">
        <v>46</v>
      </c>
      <c r="G36" s="82">
        <v>0.09</v>
      </c>
      <c r="H36" s="78">
        <f>SUM(H35*G36)</f>
        <v>1980.9</v>
      </c>
    </row>
    <row r="37" spans="2:9">
      <c r="B37" s="83" t="s">
        <v>47</v>
      </c>
      <c r="C37" s="84"/>
      <c r="E37" s="81"/>
      <c r="F37" s="21" t="s">
        <v>48</v>
      </c>
      <c r="G37" s="82">
        <v>0.09</v>
      </c>
      <c r="H37" s="78">
        <f>SUM(H35*G37)</f>
        <v>1980.9</v>
      </c>
    </row>
    <row r="38" spans="2:9">
      <c r="B38" s="83" t="s">
        <v>49</v>
      </c>
      <c r="C38" s="84"/>
      <c r="E38" s="81"/>
      <c r="F38" s="21" t="s">
        <v>50</v>
      </c>
      <c r="G38" s="82">
        <v>0.18</v>
      </c>
      <c r="H38" s="85" t="s">
        <v>51</v>
      </c>
    </row>
    <row r="39" spans="2:9">
      <c r="B39" s="83" t="s">
        <v>52</v>
      </c>
      <c r="C39" s="84"/>
      <c r="E39" s="81"/>
      <c r="F39" s="86" t="s">
        <v>53</v>
      </c>
      <c r="G39" s="87"/>
      <c r="H39" s="78">
        <f>SUM(H36:H38)</f>
        <v>3961.8</v>
      </c>
    </row>
    <row r="40" spans="2:9">
      <c r="B40" s="83" t="s">
        <v>54</v>
      </c>
      <c r="C40" s="84"/>
      <c r="E40" s="81"/>
      <c r="F40" s="88" t="s">
        <v>55</v>
      </c>
      <c r="G40" s="88"/>
      <c r="H40" s="89">
        <f>SUM(H35+H39+H42)</f>
        <v>25972</v>
      </c>
    </row>
    <row r="41" spans="2:9">
      <c r="B41" s="90"/>
      <c r="C41" s="91"/>
      <c r="D41" s="91"/>
      <c r="E41" s="92"/>
      <c r="F41" s="93" t="s">
        <v>56</v>
      </c>
      <c r="G41" s="93"/>
      <c r="H41" s="74"/>
    </row>
    <row r="42" ht="29.4" customHeight="1" spans="2:9">
      <c r="B42" s="94" t="s">
        <v>81</v>
      </c>
      <c r="C42" s="95"/>
      <c r="D42" s="95"/>
      <c r="E42" s="96"/>
      <c r="F42" s="97" t="s">
        <v>58</v>
      </c>
      <c r="G42" s="98"/>
      <c r="H42" s="99">
        <v>0.2</v>
      </c>
    </row>
    <row r="43" ht="27.6" customHeight="1" spans="2:9">
      <c r="B43" s="100" t="s">
        <v>59</v>
      </c>
      <c r="C43" s="101"/>
      <c r="D43" s="101"/>
      <c r="E43" s="102" t="s">
        <v>60</v>
      </c>
      <c r="F43" s="102"/>
      <c r="G43" s="102"/>
      <c r="H43" s="103"/>
    </row>
    <row r="44" ht="18.75" spans="2:9">
      <c r="B44" s="104" t="s">
        <v>61</v>
      </c>
      <c r="E44" s="105" t="s">
        <v>62</v>
      </c>
      <c r="F44" s="105"/>
      <c r="G44" s="105"/>
      <c r="H44" s="106"/>
      <c r="I44" s="107"/>
    </row>
    <row r="45" ht="18.75" spans="2:9">
      <c r="B45" s="108" t="s">
        <v>63</v>
      </c>
      <c r="C45" s="109"/>
      <c r="D45" s="110"/>
      <c r="E45" s="110"/>
      <c r="F45" s="111"/>
      <c r="G45" s="111"/>
      <c r="H45" s="42"/>
    </row>
    <row r="46" spans="2:9">
      <c r="B46" s="112" t="s">
        <v>64</v>
      </c>
      <c r="C46" s="113"/>
      <c r="D46" s="113"/>
      <c r="E46" s="113"/>
      <c r="F46" s="114"/>
      <c r="G46" s="111"/>
      <c r="H46" s="42"/>
    </row>
    <row r="47" spans="2:9">
      <c r="B47" s="112" t="s">
        <v>65</v>
      </c>
      <c r="C47" s="113"/>
      <c r="D47" s="113"/>
      <c r="E47" s="113"/>
      <c r="F47" s="114"/>
      <c r="G47" s="111"/>
      <c r="H47" s="42"/>
    </row>
    <row r="48" spans="2:9">
      <c r="B48" s="41"/>
      <c r="F48" s="111"/>
      <c r="G48" s="111"/>
      <c r="H48" s="42"/>
    </row>
    <row r="49" ht="15.75" spans="2:24">
      <c r="B49" s="115" t="s">
        <v>66</v>
      </c>
      <c r="C49" s="116"/>
      <c r="D49" s="116"/>
      <c r="E49" s="116"/>
      <c r="F49" s="116"/>
      <c r="G49" s="116"/>
      <c r="H49" s="117" t="s">
        <v>67</v>
      </c>
    </row>
    <row r="50" spans="2:24">
      <c r="H50" s="118"/>
    </row>
    <row r="51" ht="15.75" customHeight="1" spans="2:24">
      <c r="B51" s="1" t="s">
        <v>68</v>
      </c>
      <c r="C51" s="1"/>
      <c r="D51" s="1"/>
      <c r="E51" s="1"/>
      <c r="F51" s="1"/>
      <c r="G51" s="1"/>
      <c r="H51" s="1"/>
    </row>
    <row r="52" ht="21" spans="2:24">
      <c r="B52" s="2" t="s">
        <v>1</v>
      </c>
      <c r="C52" s="3"/>
      <c r="D52" s="3"/>
      <c r="E52" s="3"/>
      <c r="F52" s="3"/>
      <c r="G52" s="3"/>
      <c r="H52" s="4"/>
    </row>
    <row r="53" ht="28.5" spans="2:24">
      <c r="B53" s="5" t="s">
        <v>2</v>
      </c>
      <c r="C53" s="6"/>
      <c r="D53" s="6"/>
      <c r="E53" s="6"/>
      <c r="F53" s="6"/>
      <c r="G53" s="6"/>
      <c r="H53" s="7"/>
    </row>
    <row r="54" spans="2:24">
      <c r="B54" s="8" t="s">
        <v>3</v>
      </c>
      <c r="C54" s="9"/>
      <c r="D54" s="9"/>
      <c r="E54" s="9"/>
      <c r="F54" s="9"/>
      <c r="G54" s="9"/>
      <c r="H54" s="10"/>
    </row>
    <row r="55" ht="21.75" spans="2:24">
      <c r="B55" s="11" t="s">
        <v>4</v>
      </c>
      <c r="C55" s="12"/>
      <c r="D55" s="12"/>
      <c r="E55" s="12"/>
      <c r="F55" s="12"/>
      <c r="G55" s="12"/>
      <c r="H55" s="13"/>
    </row>
    <row r="56" spans="2:24">
      <c r="B56" s="14" t="s">
        <v>5</v>
      </c>
      <c r="C56" s="15"/>
      <c r="D56" s="15"/>
      <c r="E56" s="15"/>
      <c r="F56" s="15"/>
      <c r="G56" s="15"/>
      <c r="H56" s="16"/>
    </row>
    <row r="57" spans="2:24">
      <c r="B57" s="17" t="s">
        <v>6</v>
      </c>
      <c r="C57" s="18"/>
      <c r="D57" s="18"/>
      <c r="E57" s="18"/>
      <c r="F57" s="18"/>
      <c r="G57" s="18"/>
      <c r="H57" s="19"/>
      <c r="X57" s="119"/>
    </row>
    <row r="58" ht="15.75" customHeight="1" spans="2:24">
      <c r="B58" s="20" t="s">
        <v>7</v>
      </c>
      <c r="C58" s="21"/>
      <c r="D58" s="22" t="s">
        <v>8</v>
      </c>
      <c r="E58" s="23"/>
      <c r="F58" s="23"/>
      <c r="G58" s="23"/>
      <c r="H58" s="24"/>
    </row>
    <row r="59" ht="21" spans="2:24">
      <c r="B59" s="25" t="s">
        <v>9</v>
      </c>
      <c r="C59" s="21"/>
      <c r="D59" s="26" t="s">
        <v>10</v>
      </c>
      <c r="E59" s="26"/>
      <c r="F59" s="27" t="s">
        <v>77</v>
      </c>
      <c r="G59" s="28" t="s">
        <v>12</v>
      </c>
      <c r="H59" s="29">
        <v>46288</v>
      </c>
    </row>
    <row r="60" spans="2:24">
      <c r="B60" s="20" t="s">
        <v>13</v>
      </c>
      <c r="C60" s="21"/>
      <c r="D60" s="26" t="s">
        <v>14</v>
      </c>
      <c r="E60" s="26"/>
      <c r="F60" s="27" t="s">
        <v>77</v>
      </c>
      <c r="G60" s="28" t="s">
        <v>12</v>
      </c>
      <c r="H60" s="29">
        <v>46288</v>
      </c>
    </row>
    <row r="61" spans="2:24">
      <c r="B61" s="20" t="s">
        <v>15</v>
      </c>
      <c r="C61" s="21"/>
      <c r="D61" s="26" t="s">
        <v>16</v>
      </c>
      <c r="E61" s="26"/>
      <c r="F61" s="30"/>
      <c r="G61" s="31" t="s">
        <v>12</v>
      </c>
      <c r="H61" s="29"/>
    </row>
    <row r="62" spans="2:24">
      <c r="B62" s="20" t="s">
        <v>17</v>
      </c>
      <c r="C62" s="21"/>
      <c r="D62" s="26" t="s">
        <v>18</v>
      </c>
      <c r="E62" s="26"/>
      <c r="F62" s="32" t="s">
        <v>78</v>
      </c>
      <c r="G62" s="31" t="s">
        <v>12</v>
      </c>
      <c r="H62" s="29">
        <v>46287</v>
      </c>
    </row>
    <row r="63" spans="2:24">
      <c r="B63" s="20" t="s">
        <v>20</v>
      </c>
      <c r="C63" s="21"/>
      <c r="D63" s="26" t="s">
        <v>21</v>
      </c>
      <c r="E63" s="26"/>
      <c r="F63" s="33"/>
      <c r="G63" s="34" t="s">
        <v>12</v>
      </c>
      <c r="H63" s="29"/>
    </row>
    <row r="64" spans="2:24">
      <c r="B64" s="35" t="s">
        <v>22</v>
      </c>
      <c r="C64" s="26"/>
      <c r="D64" s="26" t="s">
        <v>23</v>
      </c>
      <c r="E64" s="26"/>
      <c r="F64" s="21" t="s">
        <v>24</v>
      </c>
      <c r="G64" s="28" t="s">
        <v>25</v>
      </c>
      <c r="H64" s="36"/>
    </row>
    <row r="65" ht="15.75" spans="2:8">
      <c r="B65" s="37" t="s">
        <v>26</v>
      </c>
      <c r="C65" s="38"/>
      <c r="D65" s="38" t="s">
        <v>27</v>
      </c>
      <c r="E65" s="38"/>
      <c r="F65" s="38" t="s">
        <v>28</v>
      </c>
      <c r="G65" s="39"/>
      <c r="H65" s="40"/>
    </row>
    <row r="66" ht="4.5" customHeight="1" spans="2:8">
      <c r="B66" s="41"/>
      <c r="H66" s="42"/>
    </row>
    <row r="67" ht="39" spans="2:8">
      <c r="B67" s="43" t="s">
        <v>30</v>
      </c>
      <c r="C67" s="44" t="s">
        <v>31</v>
      </c>
      <c r="D67" s="45" t="s">
        <v>32</v>
      </c>
      <c r="E67" s="44" t="s">
        <v>33</v>
      </c>
      <c r="F67" s="44" t="s">
        <v>34</v>
      </c>
      <c r="G67" s="44" t="s">
        <v>35</v>
      </c>
      <c r="H67" s="46" t="s">
        <v>36</v>
      </c>
    </row>
    <row r="68" customHeight="1" spans="2:8">
      <c r="B68" s="47">
        <v>1</v>
      </c>
      <c r="C68" s="48" t="s">
        <v>79</v>
      </c>
      <c r="D68" s="49">
        <v>82073000</v>
      </c>
      <c r="E68" s="50" t="s">
        <v>39</v>
      </c>
      <c r="F68" s="51">
        <v>1</v>
      </c>
      <c r="G68" s="52">
        <v>22010</v>
      </c>
      <c r="H68" s="53">
        <f>SUM(F68*G68)</f>
        <v>22010</v>
      </c>
    </row>
    <row r="69" spans="2:8">
      <c r="B69" s="54"/>
      <c r="C69" s="55" t="s">
        <v>80</v>
      </c>
      <c r="D69" s="56"/>
      <c r="E69" s="50"/>
      <c r="F69" s="51"/>
      <c r="G69" s="57"/>
      <c r="H69" s="53"/>
    </row>
    <row r="70" customHeight="1" spans="2:8">
      <c r="B70" s="47"/>
      <c r="C70" s="133"/>
      <c r="D70" s="49"/>
      <c r="E70" s="50"/>
      <c r="F70" s="51"/>
      <c r="G70" s="57"/>
      <c r="H70" s="53"/>
    </row>
    <row r="71" spans="2:8">
      <c r="B71" s="54"/>
      <c r="C71" s="55"/>
      <c r="D71" s="56"/>
      <c r="E71" s="50"/>
      <c r="F71" s="51"/>
      <c r="G71" s="57"/>
      <c r="H71" s="53"/>
    </row>
    <row r="72" customHeight="1" spans="2:8">
      <c r="B72" s="62"/>
      <c r="C72" s="32"/>
      <c r="D72" s="58"/>
      <c r="E72" s="50"/>
      <c r="F72" s="51"/>
      <c r="G72" s="57"/>
      <c r="H72" s="53"/>
    </row>
    <row r="73" spans="2:8">
      <c r="B73" s="62"/>
      <c r="C73" s="60"/>
      <c r="D73" s="56"/>
      <c r="E73" s="50"/>
      <c r="F73" s="51"/>
      <c r="G73" s="57"/>
      <c r="H73" s="53"/>
    </row>
    <row r="74" spans="2:8">
      <c r="B74" s="62"/>
      <c r="C74" s="32"/>
      <c r="D74" s="63"/>
      <c r="E74" s="50"/>
      <c r="F74" s="51"/>
      <c r="G74" s="57"/>
      <c r="H74" s="53"/>
    </row>
    <row r="75" spans="2:8">
      <c r="B75" s="62"/>
      <c r="C75" s="64"/>
      <c r="D75" s="63"/>
      <c r="E75" s="50"/>
      <c r="F75" s="51"/>
      <c r="G75" s="57"/>
      <c r="H75" s="53"/>
    </row>
    <row r="76" spans="2:8">
      <c r="B76" s="62"/>
      <c r="C76" s="32"/>
      <c r="D76" s="63"/>
      <c r="E76" s="50"/>
      <c r="F76" s="51"/>
      <c r="G76" s="57"/>
      <c r="H76" s="53"/>
    </row>
    <row r="77" spans="2:8">
      <c r="B77" s="62"/>
      <c r="C77" s="65"/>
      <c r="D77" s="27"/>
      <c r="E77" s="27"/>
      <c r="F77" s="66"/>
      <c r="G77" s="57"/>
      <c r="H77" s="53"/>
    </row>
    <row r="78" spans="2:8">
      <c r="B78" s="62"/>
      <c r="C78" s="32"/>
      <c r="D78" s="63"/>
      <c r="E78" s="50"/>
      <c r="F78" s="51"/>
      <c r="G78" s="57"/>
      <c r="H78" s="53"/>
    </row>
    <row r="79" spans="2:8">
      <c r="B79" s="62"/>
      <c r="C79" s="65"/>
      <c r="D79" s="27"/>
      <c r="E79" s="27"/>
      <c r="F79" s="66"/>
      <c r="G79" s="57"/>
      <c r="H79" s="53"/>
    </row>
    <row r="80" spans="2:8">
      <c r="B80" s="62"/>
      <c r="C80" s="67"/>
      <c r="D80" s="63"/>
      <c r="E80" s="50"/>
      <c r="F80" s="51"/>
      <c r="G80" s="68"/>
      <c r="H80" s="69"/>
    </row>
    <row r="81" spans="2:9">
      <c r="B81" s="20"/>
      <c r="C81" s="65"/>
      <c r="D81" s="21"/>
      <c r="E81" s="21"/>
      <c r="F81" s="66"/>
      <c r="G81" s="70"/>
      <c r="H81" s="69"/>
    </row>
    <row r="82" spans="2:9">
      <c r="B82" s="62"/>
      <c r="C82" s="32"/>
      <c r="D82" s="63"/>
      <c r="E82" s="50"/>
      <c r="F82" s="51"/>
      <c r="G82" s="70"/>
      <c r="H82" s="69"/>
    </row>
    <row r="83" spans="2:9">
      <c r="B83" s="20"/>
      <c r="C83" s="65"/>
      <c r="D83" s="21"/>
      <c r="E83" s="21"/>
      <c r="F83" s="66"/>
      <c r="G83" s="70"/>
      <c r="H83" s="69"/>
    </row>
    <row r="84" ht="21" spans="2:9">
      <c r="B84" s="71" t="s">
        <v>42</v>
      </c>
      <c r="C84" s="72"/>
      <c r="D84" s="66" t="s">
        <v>43</v>
      </c>
      <c r="E84" s="73"/>
      <c r="F84" s="27">
        <f>SUM(F68:F83)</f>
        <v>1</v>
      </c>
      <c r="G84" s="21"/>
      <c r="H84" s="74"/>
    </row>
    <row r="85" spans="2:9">
      <c r="B85" s="75"/>
      <c r="C85" s="76"/>
      <c r="D85" s="76"/>
      <c r="E85" s="77"/>
      <c r="F85" s="26" t="s">
        <v>44</v>
      </c>
      <c r="G85" s="26"/>
      <c r="H85" s="78">
        <f>SUM(H68:H84)</f>
        <v>22010</v>
      </c>
    </row>
    <row r="86" spans="2:9">
      <c r="B86" s="79" t="s">
        <v>45</v>
      </c>
      <c r="C86" s="80"/>
      <c r="E86" s="81"/>
      <c r="F86" s="21" t="s">
        <v>46</v>
      </c>
      <c r="G86" s="82">
        <v>0.09</v>
      </c>
      <c r="H86" s="78">
        <f>SUM(H85*G86)</f>
        <v>1980.9</v>
      </c>
    </row>
    <row r="87" spans="2:9">
      <c r="B87" s="83" t="s">
        <v>47</v>
      </c>
      <c r="C87" s="84"/>
      <c r="E87" s="81"/>
      <c r="F87" s="21" t="s">
        <v>48</v>
      </c>
      <c r="G87" s="82">
        <v>0.09</v>
      </c>
      <c r="H87" s="78">
        <f>SUM(H85*G87)</f>
        <v>1980.9</v>
      </c>
    </row>
    <row r="88" spans="2:9">
      <c r="B88" s="83" t="s">
        <v>49</v>
      </c>
      <c r="C88" s="84"/>
      <c r="E88" s="81"/>
      <c r="F88" s="21" t="s">
        <v>50</v>
      </c>
      <c r="G88" s="82">
        <v>0.18</v>
      </c>
      <c r="H88" s="85" t="s">
        <v>51</v>
      </c>
    </row>
    <row r="89" spans="2:9">
      <c r="B89" s="83" t="s">
        <v>52</v>
      </c>
      <c r="C89" s="84"/>
      <c r="E89" s="81"/>
      <c r="F89" s="86" t="s">
        <v>53</v>
      </c>
      <c r="G89" s="87"/>
      <c r="H89" s="78">
        <f>SUM(H86:H88)</f>
        <v>3961.8</v>
      </c>
    </row>
    <row r="90" customHeight="1" spans="2:9">
      <c r="B90" s="83" t="s">
        <v>54</v>
      </c>
      <c r="C90" s="84"/>
      <c r="E90" s="81"/>
      <c r="F90" s="88" t="s">
        <v>55</v>
      </c>
      <c r="G90" s="88"/>
      <c r="H90" s="89">
        <f>SUM(H85+H89+H92)</f>
        <v>25972</v>
      </c>
    </row>
    <row r="91" spans="2:9">
      <c r="B91" s="90"/>
      <c r="C91" s="91"/>
      <c r="D91" s="91"/>
      <c r="E91" s="92"/>
      <c r="F91" s="93" t="s">
        <v>56</v>
      </c>
      <c r="G91" s="93"/>
      <c r="H91" s="74"/>
      <c r="I91" s="59"/>
    </row>
    <row r="92" ht="29.4" customHeight="1" spans="2:9">
      <c r="B92" s="94" t="s">
        <v>81</v>
      </c>
      <c r="C92" s="95"/>
      <c r="D92" s="95"/>
      <c r="E92" s="96"/>
      <c r="F92" s="97" t="s">
        <v>58</v>
      </c>
      <c r="G92" s="98"/>
      <c r="H92" s="99">
        <v>0.2</v>
      </c>
    </row>
    <row r="93" ht="29.25" customHeight="1" spans="2:9">
      <c r="B93" s="100" t="s">
        <v>59</v>
      </c>
      <c r="C93" s="101"/>
      <c r="D93" s="101"/>
      <c r="E93" s="102" t="s">
        <v>60</v>
      </c>
      <c r="F93" s="102"/>
      <c r="G93" s="102"/>
      <c r="H93" s="103"/>
    </row>
    <row r="94" ht="18.75" spans="2:9">
      <c r="B94" s="104" t="s">
        <v>61</v>
      </c>
      <c r="E94" s="105" t="s">
        <v>62</v>
      </c>
      <c r="F94" s="105"/>
      <c r="G94" s="105"/>
      <c r="H94" s="106"/>
    </row>
    <row r="95" ht="18.75" spans="2:9">
      <c r="B95" s="108" t="s">
        <v>63</v>
      </c>
      <c r="C95" s="109"/>
      <c r="D95" s="110"/>
      <c r="E95" s="110"/>
      <c r="F95" s="111"/>
      <c r="G95" s="111"/>
      <c r="H95" s="42"/>
    </row>
    <row r="96" spans="2:9">
      <c r="B96" s="112" t="s">
        <v>64</v>
      </c>
      <c r="C96" s="113"/>
      <c r="D96" s="113"/>
      <c r="E96" s="113"/>
      <c r="F96" s="114"/>
      <c r="G96" s="111"/>
      <c r="H96" s="42"/>
    </row>
    <row r="97" spans="2:8">
      <c r="B97" s="112" t="s">
        <v>65</v>
      </c>
      <c r="C97" s="113"/>
      <c r="D97" s="113"/>
      <c r="E97" s="113"/>
      <c r="F97" s="114"/>
      <c r="G97" s="111"/>
      <c r="H97" s="42"/>
    </row>
    <row r="98" spans="2:8">
      <c r="B98" s="41"/>
      <c r="F98" s="111"/>
      <c r="G98" s="111"/>
      <c r="H98" s="42"/>
    </row>
    <row r="99" ht="15.75" spans="2:8">
      <c r="B99" s="115" t="s">
        <v>66</v>
      </c>
      <c r="C99" s="116"/>
      <c r="D99" s="116"/>
      <c r="E99" s="116"/>
      <c r="F99" s="116"/>
      <c r="G99" s="116"/>
      <c r="H99" s="117" t="s">
        <v>67</v>
      </c>
    </row>
    <row r="100" spans="2:8">
      <c r="H100" s="118"/>
    </row>
    <row r="101" ht="18" customHeight="1" spans="2:8">
      <c r="B101" s="120" t="s">
        <v>69</v>
      </c>
      <c r="C101" s="120"/>
      <c r="D101" s="120"/>
      <c r="E101" s="120"/>
      <c r="F101" s="120"/>
      <c r="G101" s="120"/>
      <c r="H101" s="120"/>
    </row>
    <row r="102" ht="21" spans="2:8">
      <c r="B102" s="2" t="s">
        <v>1</v>
      </c>
      <c r="C102" s="3"/>
      <c r="D102" s="3"/>
      <c r="E102" s="3"/>
      <c r="F102" s="3"/>
      <c r="G102" s="3"/>
      <c r="H102" s="4"/>
    </row>
    <row r="103" ht="28.5" spans="2:8">
      <c r="B103" s="5" t="s">
        <v>2</v>
      </c>
      <c r="C103" s="6"/>
      <c r="D103" s="6"/>
      <c r="E103" s="6"/>
      <c r="F103" s="6"/>
      <c r="G103" s="6"/>
      <c r="H103" s="7"/>
    </row>
    <row r="104" spans="2:8">
      <c r="B104" s="8" t="s">
        <v>3</v>
      </c>
      <c r="C104" s="9"/>
      <c r="D104" s="9"/>
      <c r="E104" s="9"/>
      <c r="F104" s="9"/>
      <c r="G104" s="9"/>
      <c r="H104" s="10"/>
    </row>
    <row r="105" ht="21.75" spans="2:8">
      <c r="B105" s="11" t="s">
        <v>4</v>
      </c>
      <c r="C105" s="12"/>
      <c r="D105" s="12"/>
      <c r="E105" s="12"/>
      <c r="F105" s="12"/>
      <c r="G105" s="12"/>
      <c r="H105" s="13"/>
    </row>
    <row r="106" spans="2:8">
      <c r="B106" s="14" t="s">
        <v>5</v>
      </c>
      <c r="C106" s="15"/>
      <c r="D106" s="15"/>
      <c r="E106" s="15"/>
      <c r="F106" s="15"/>
      <c r="G106" s="15"/>
      <c r="H106" s="16"/>
    </row>
    <row r="107" spans="2:8">
      <c r="B107" s="17" t="s">
        <v>6</v>
      </c>
      <c r="C107" s="18"/>
      <c r="D107" s="18"/>
      <c r="E107" s="18"/>
      <c r="F107" s="18"/>
      <c r="G107" s="18"/>
      <c r="H107" s="19"/>
    </row>
    <row r="108" ht="15.75" customHeight="1" spans="2:8">
      <c r="B108" s="20" t="s">
        <v>7</v>
      </c>
      <c r="C108" s="21"/>
      <c r="D108" s="22" t="s">
        <v>8</v>
      </c>
      <c r="E108" s="23"/>
      <c r="F108" s="23"/>
      <c r="G108" s="23"/>
      <c r="H108" s="24"/>
    </row>
    <row r="109" ht="21" spans="2:8">
      <c r="B109" s="25" t="s">
        <v>9</v>
      </c>
      <c r="C109" s="21"/>
      <c r="D109" s="26" t="s">
        <v>10</v>
      </c>
      <c r="E109" s="26"/>
      <c r="F109" s="27" t="s">
        <v>77</v>
      </c>
      <c r="G109" s="28" t="s">
        <v>12</v>
      </c>
      <c r="H109" s="29">
        <v>46288</v>
      </c>
    </row>
    <row r="110" spans="2:8">
      <c r="B110" s="20" t="s">
        <v>13</v>
      </c>
      <c r="C110" s="21"/>
      <c r="D110" s="26" t="s">
        <v>14</v>
      </c>
      <c r="E110" s="26"/>
      <c r="F110" s="27" t="s">
        <v>77</v>
      </c>
      <c r="G110" s="28" t="s">
        <v>12</v>
      </c>
      <c r="H110" s="29">
        <v>46288</v>
      </c>
    </row>
    <row r="111" spans="2:8">
      <c r="B111" s="20" t="s">
        <v>15</v>
      </c>
      <c r="C111" s="21"/>
      <c r="D111" s="26" t="s">
        <v>16</v>
      </c>
      <c r="E111" s="26"/>
      <c r="F111" s="30"/>
      <c r="G111" s="31" t="s">
        <v>12</v>
      </c>
      <c r="H111" s="29"/>
    </row>
    <row r="112" spans="2:8">
      <c r="B112" s="20" t="s">
        <v>17</v>
      </c>
      <c r="C112" s="21"/>
      <c r="D112" s="26" t="s">
        <v>18</v>
      </c>
      <c r="E112" s="26"/>
      <c r="F112" s="32" t="s">
        <v>78</v>
      </c>
      <c r="G112" s="31" t="s">
        <v>12</v>
      </c>
      <c r="H112" s="29">
        <v>46287</v>
      </c>
    </row>
    <row r="113" spans="2:8">
      <c r="B113" s="20" t="s">
        <v>20</v>
      </c>
      <c r="C113" s="21"/>
      <c r="D113" s="26" t="s">
        <v>21</v>
      </c>
      <c r="E113" s="26"/>
      <c r="F113" s="33"/>
      <c r="G113" s="34" t="s">
        <v>12</v>
      </c>
      <c r="H113" s="29"/>
    </row>
    <row r="114" spans="2:8">
      <c r="B114" s="35" t="s">
        <v>22</v>
      </c>
      <c r="C114" s="26"/>
      <c r="D114" s="26" t="s">
        <v>23</v>
      </c>
      <c r="E114" s="26"/>
      <c r="F114" s="21" t="s">
        <v>24</v>
      </c>
      <c r="G114" s="28" t="s">
        <v>25</v>
      </c>
      <c r="H114" s="36"/>
    </row>
    <row r="115" ht="15.75" spans="2:8">
      <c r="B115" s="37" t="s">
        <v>26</v>
      </c>
      <c r="C115" s="38"/>
      <c r="D115" s="38" t="s">
        <v>27</v>
      </c>
      <c r="E115" s="38"/>
      <c r="F115" s="38" t="s">
        <v>28</v>
      </c>
      <c r="G115" s="39"/>
      <c r="H115" s="40"/>
    </row>
    <row r="116" ht="3.75" customHeight="1" spans="2:8">
      <c r="B116" s="41"/>
      <c r="H116" s="42"/>
    </row>
    <row r="117" ht="39" spans="2:8">
      <c r="B117" s="43" t="s">
        <v>30</v>
      </c>
      <c r="C117" s="44" t="s">
        <v>31</v>
      </c>
      <c r="D117" s="45" t="s">
        <v>32</v>
      </c>
      <c r="E117" s="44" t="s">
        <v>33</v>
      </c>
      <c r="F117" s="44" t="s">
        <v>34</v>
      </c>
      <c r="G117" s="44" t="s">
        <v>35</v>
      </c>
      <c r="H117" s="46" t="s">
        <v>36</v>
      </c>
    </row>
    <row r="118" customHeight="1" spans="2:8">
      <c r="B118" s="47">
        <v>1</v>
      </c>
      <c r="C118" s="48" t="s">
        <v>79</v>
      </c>
      <c r="D118" s="49">
        <v>82073000</v>
      </c>
      <c r="E118" s="50" t="s">
        <v>39</v>
      </c>
      <c r="F118" s="51">
        <v>1</v>
      </c>
      <c r="G118" s="52">
        <v>22010</v>
      </c>
      <c r="H118" s="53">
        <f>SUM(F118*G118)</f>
        <v>22010</v>
      </c>
    </row>
    <row r="119" spans="2:8">
      <c r="B119" s="54"/>
      <c r="C119" s="55" t="s">
        <v>80</v>
      </c>
      <c r="D119" s="56"/>
      <c r="E119" s="50"/>
      <c r="F119" s="51"/>
      <c r="G119" s="57"/>
      <c r="H119" s="53"/>
    </row>
    <row r="120" spans="2:8">
      <c r="B120" s="47"/>
      <c r="C120" s="133"/>
      <c r="D120" s="49"/>
      <c r="E120" s="50"/>
      <c r="F120" s="51"/>
      <c r="G120" s="57"/>
      <c r="H120" s="53"/>
    </row>
    <row r="121" spans="2:8">
      <c r="B121" s="54"/>
      <c r="C121" s="55"/>
      <c r="D121" s="56"/>
      <c r="E121" s="50"/>
      <c r="F121" s="51"/>
      <c r="G121" s="57"/>
      <c r="H121" s="53"/>
    </row>
    <row r="122" spans="2:8">
      <c r="B122" s="62"/>
      <c r="C122" s="32"/>
      <c r="D122" s="58"/>
      <c r="E122" s="50"/>
      <c r="F122" s="51"/>
      <c r="G122" s="57"/>
      <c r="H122" s="53"/>
    </row>
    <row r="123" spans="2:8">
      <c r="B123" s="62"/>
      <c r="C123" s="60"/>
      <c r="D123" s="56"/>
      <c r="E123" s="50"/>
      <c r="F123" s="51"/>
      <c r="G123" s="57"/>
      <c r="H123" s="53"/>
    </row>
    <row r="124" spans="2:8">
      <c r="B124" s="62"/>
      <c r="C124" s="32"/>
      <c r="D124" s="63"/>
      <c r="E124" s="50"/>
      <c r="F124" s="51"/>
      <c r="G124" s="57"/>
      <c r="H124" s="53"/>
    </row>
    <row r="125" spans="2:8">
      <c r="B125" s="62"/>
      <c r="C125" s="64"/>
      <c r="D125" s="63"/>
      <c r="E125" s="50"/>
      <c r="F125" s="51"/>
      <c r="G125" s="57"/>
      <c r="H125" s="53"/>
    </row>
    <row r="126" spans="2:8">
      <c r="B126" s="62"/>
      <c r="C126" s="32"/>
      <c r="D126" s="63"/>
      <c r="E126" s="50"/>
      <c r="F126" s="51"/>
      <c r="G126" s="57"/>
      <c r="H126" s="53"/>
    </row>
    <row r="127" spans="2:8">
      <c r="B127" s="62"/>
      <c r="C127" s="65"/>
      <c r="D127" s="27"/>
      <c r="E127" s="27"/>
      <c r="F127" s="66"/>
      <c r="G127" s="57"/>
      <c r="H127" s="53"/>
    </row>
    <row r="128" spans="2:8">
      <c r="B128" s="62"/>
      <c r="C128" s="32"/>
      <c r="D128" s="63"/>
      <c r="E128" s="50"/>
      <c r="F128" s="51"/>
      <c r="G128" s="57"/>
      <c r="H128" s="53"/>
    </row>
    <row r="129" spans="2:8">
      <c r="B129" s="62"/>
      <c r="C129" s="65"/>
      <c r="D129" s="27"/>
      <c r="E129" s="27"/>
      <c r="F129" s="66"/>
      <c r="G129" s="57"/>
      <c r="H129" s="53"/>
    </row>
    <row r="130" spans="2:8">
      <c r="B130" s="62"/>
      <c r="C130" s="67"/>
      <c r="D130" s="63"/>
      <c r="E130" s="50"/>
      <c r="F130" s="51"/>
      <c r="G130" s="68"/>
      <c r="H130" s="69"/>
    </row>
    <row r="131" spans="2:8">
      <c r="B131" s="20"/>
      <c r="C131" s="65"/>
      <c r="D131" s="21"/>
      <c r="E131" s="21"/>
      <c r="F131" s="66"/>
      <c r="G131" s="70"/>
      <c r="H131" s="69"/>
    </row>
    <row r="132" spans="2:8">
      <c r="B132" s="62"/>
      <c r="C132" s="32"/>
      <c r="D132" s="63"/>
      <c r="E132" s="50"/>
      <c r="F132" s="51"/>
      <c r="G132" s="70"/>
      <c r="H132" s="69"/>
    </row>
    <row r="133" spans="2:8">
      <c r="B133" s="20"/>
      <c r="C133" s="65"/>
      <c r="D133" s="21"/>
      <c r="E133" s="21"/>
      <c r="F133" s="66"/>
      <c r="G133" s="70"/>
      <c r="H133" s="69"/>
    </row>
    <row r="134" ht="21" spans="2:8">
      <c r="B134" s="71" t="s">
        <v>42</v>
      </c>
      <c r="C134" s="72"/>
      <c r="D134" s="66" t="s">
        <v>43</v>
      </c>
      <c r="E134" s="73"/>
      <c r="F134" s="27">
        <f>SUM(F118:F133)</f>
        <v>1</v>
      </c>
      <c r="G134" s="21"/>
      <c r="H134" s="74"/>
    </row>
    <row r="135" spans="2:8">
      <c r="B135" s="75"/>
      <c r="C135" s="76"/>
      <c r="D135" s="76"/>
      <c r="E135" s="77"/>
      <c r="F135" s="26" t="s">
        <v>44</v>
      </c>
      <c r="G135" s="26"/>
      <c r="H135" s="78">
        <f>SUM(H118:H134)</f>
        <v>22010</v>
      </c>
    </row>
    <row r="136" spans="2:8">
      <c r="B136" s="79" t="s">
        <v>45</v>
      </c>
      <c r="C136" s="80"/>
      <c r="E136" s="81"/>
      <c r="F136" s="21" t="s">
        <v>46</v>
      </c>
      <c r="G136" s="82">
        <v>0.09</v>
      </c>
      <c r="H136" s="78">
        <f>SUM(H135*G136)</f>
        <v>1980.9</v>
      </c>
    </row>
    <row r="137" spans="2:8">
      <c r="B137" s="83" t="s">
        <v>47</v>
      </c>
      <c r="C137" s="84"/>
      <c r="E137" s="81"/>
      <c r="F137" s="21" t="s">
        <v>48</v>
      </c>
      <c r="G137" s="82">
        <v>0.09</v>
      </c>
      <c r="H137" s="78">
        <f>SUM(H135*G137)</f>
        <v>1980.9</v>
      </c>
    </row>
    <row r="138" spans="2:8">
      <c r="B138" s="83" t="s">
        <v>49</v>
      </c>
      <c r="C138" s="84"/>
      <c r="E138" s="81"/>
      <c r="F138" s="21" t="s">
        <v>50</v>
      </c>
      <c r="G138" s="82">
        <v>0.18</v>
      </c>
      <c r="H138" s="85" t="s">
        <v>51</v>
      </c>
    </row>
    <row r="139" spans="2:8">
      <c r="B139" s="83" t="s">
        <v>52</v>
      </c>
      <c r="C139" s="84"/>
      <c r="E139" s="81"/>
      <c r="F139" s="86" t="s">
        <v>53</v>
      </c>
      <c r="G139" s="87"/>
      <c r="H139" s="78">
        <f>SUM(H136:H138)</f>
        <v>3961.8</v>
      </c>
    </row>
    <row r="140" spans="2:8">
      <c r="B140" s="83" t="s">
        <v>54</v>
      </c>
      <c r="C140" s="84"/>
      <c r="E140" s="81"/>
      <c r="F140" s="88" t="s">
        <v>55</v>
      </c>
      <c r="G140" s="88"/>
      <c r="H140" s="89">
        <f>SUM(H135+H139+H142)</f>
        <v>25972</v>
      </c>
    </row>
    <row r="141" spans="2:8">
      <c r="B141" s="90"/>
      <c r="C141" s="91"/>
      <c r="D141" s="91"/>
      <c r="E141" s="92"/>
      <c r="F141" s="93" t="s">
        <v>56</v>
      </c>
      <c r="G141" s="93"/>
      <c r="H141" s="74"/>
    </row>
    <row r="142" ht="27" customHeight="1" spans="2:8">
      <c r="B142" s="94" t="s">
        <v>81</v>
      </c>
      <c r="C142" s="95"/>
      <c r="D142" s="95"/>
      <c r="E142" s="96"/>
      <c r="F142" s="97" t="s">
        <v>58</v>
      </c>
      <c r="G142" s="98"/>
      <c r="H142" s="99">
        <v>0.2</v>
      </c>
    </row>
    <row r="143" spans="2:8">
      <c r="B143" s="100" t="s">
        <v>59</v>
      </c>
      <c r="C143" s="101"/>
      <c r="D143" s="101"/>
      <c r="E143" s="102" t="s">
        <v>60</v>
      </c>
      <c r="F143" s="102"/>
      <c r="G143" s="102"/>
      <c r="H143" s="103"/>
    </row>
    <row r="144" ht="18.75" spans="2:8">
      <c r="B144" s="104" t="s">
        <v>61</v>
      </c>
      <c r="E144" s="105" t="s">
        <v>62</v>
      </c>
      <c r="F144" s="105"/>
      <c r="G144" s="105"/>
      <c r="H144" s="106"/>
    </row>
    <row r="145" ht="18.75" spans="2:8">
      <c r="B145" s="108" t="s">
        <v>63</v>
      </c>
      <c r="C145" s="109"/>
      <c r="D145" s="110"/>
      <c r="E145" s="110"/>
      <c r="F145" s="111"/>
      <c r="G145" s="111"/>
      <c r="H145" s="42"/>
    </row>
    <row r="146" spans="2:8">
      <c r="B146" s="112" t="s">
        <v>64</v>
      </c>
      <c r="C146" s="113"/>
      <c r="D146" s="113"/>
      <c r="E146" s="113"/>
      <c r="F146" s="114"/>
      <c r="G146" s="111"/>
      <c r="H146" s="42"/>
    </row>
    <row r="147" spans="2:8">
      <c r="B147" s="112" t="s">
        <v>65</v>
      </c>
      <c r="C147" s="113"/>
      <c r="D147" s="113"/>
      <c r="E147" s="113"/>
      <c r="F147" s="114"/>
      <c r="G147" s="111"/>
      <c r="H147" s="42"/>
    </row>
    <row r="148" spans="2:8">
      <c r="B148" s="41"/>
      <c r="F148" s="111"/>
      <c r="G148" s="111"/>
      <c r="H148" s="42"/>
    </row>
    <row r="149" ht="15.75" spans="2:8">
      <c r="B149" s="115" t="s">
        <v>66</v>
      </c>
      <c r="C149" s="116"/>
      <c r="D149" s="116"/>
      <c r="E149" s="116"/>
      <c r="F149" s="116"/>
      <c r="G149" s="116"/>
      <c r="H149" s="117" t="s">
        <v>67</v>
      </c>
    </row>
  </sheetData>
  <mergeCells count="48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4:C34"/>
    <mergeCell ref="D34:E34"/>
    <mergeCell ref="F39:G39"/>
    <mergeCell ref="B42:E42"/>
    <mergeCell ref="F42:G42"/>
    <mergeCell ref="E43:H43"/>
    <mergeCell ref="E44:H44"/>
    <mergeCell ref="B51:H51"/>
    <mergeCell ref="B52:H52"/>
    <mergeCell ref="B53:H53"/>
    <mergeCell ref="B54:H54"/>
    <mergeCell ref="B55:H55"/>
    <mergeCell ref="B56:H56"/>
    <mergeCell ref="B57:H57"/>
    <mergeCell ref="D58:H58"/>
    <mergeCell ref="G64:H64"/>
    <mergeCell ref="B84:C84"/>
    <mergeCell ref="D84:E84"/>
    <mergeCell ref="F89:G89"/>
    <mergeCell ref="B92:E92"/>
    <mergeCell ref="F92:G92"/>
    <mergeCell ref="E93:H93"/>
    <mergeCell ref="E94:H94"/>
    <mergeCell ref="B101:H101"/>
    <mergeCell ref="B102:H102"/>
    <mergeCell ref="B103:H103"/>
    <mergeCell ref="B104:H104"/>
    <mergeCell ref="B105:H105"/>
    <mergeCell ref="B106:H106"/>
    <mergeCell ref="B107:H107"/>
    <mergeCell ref="D108:H108"/>
    <mergeCell ref="G114:H114"/>
    <mergeCell ref="B134:C134"/>
    <mergeCell ref="D134:E134"/>
    <mergeCell ref="F139:G139"/>
    <mergeCell ref="B142:E142"/>
    <mergeCell ref="F142:G142"/>
    <mergeCell ref="E143:H143"/>
    <mergeCell ref="E144:H144"/>
  </mergeCells>
  <pageMargins left="0.17" right="0.17" top="0.17" bottom="0.17" header="10.9" footer="0.79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149"/>
  <sheetViews>
    <sheetView workbookViewId="0">
      <selection activeCell="B98" sqref="B98:H144"/>
    </sheetView>
  </sheetViews>
  <sheetFormatPr defaultColWidth="9" defaultRowHeight="15"/>
  <cols>
    <col min="1" max="1" width="0.552380952380952" customWidth="1"/>
    <col min="2" max="2" width="3.66666666666667" customWidth="1"/>
    <col min="3" max="3" width="38.8857142857143" customWidth="1"/>
    <col min="4" max="4" width="9.55238095238095" customWidth="1"/>
    <col min="5" max="5" width="7.88571428571429" customWidth="1"/>
    <col min="6" max="6" width="15.8857142857143" customWidth="1"/>
    <col min="7" max="7" width="11.8857142857143" customWidth="1"/>
    <col min="8" max="8" width="11.6666666666667" customWidth="1"/>
    <col min="9" max="9" width="0.666666666666667" customWidth="1"/>
  </cols>
  <sheetData>
    <row r="1" ht="15.75" spans="2:8">
      <c r="B1" s="1" t="s">
        <v>0</v>
      </c>
      <c r="C1" s="1"/>
      <c r="D1" s="1"/>
      <c r="E1" s="1"/>
      <c r="F1" s="1"/>
      <c r="G1" s="1"/>
      <c r="H1" s="1"/>
    </row>
    <row r="2" ht="21" spans="2:8">
      <c r="B2" s="2" t="s">
        <v>1</v>
      </c>
      <c r="C2" s="3"/>
      <c r="D2" s="3"/>
      <c r="E2" s="3"/>
      <c r="F2" s="3"/>
      <c r="G2" s="3"/>
      <c r="H2" s="4"/>
    </row>
    <row r="3" ht="28.5" spans="2:8">
      <c r="B3" s="5" t="s">
        <v>2</v>
      </c>
      <c r="C3" s="6"/>
      <c r="D3" s="6"/>
      <c r="E3" s="6"/>
      <c r="F3" s="6"/>
      <c r="G3" s="6"/>
      <c r="H3" s="7"/>
    </row>
    <row r="4" spans="2:8">
      <c r="B4" s="8" t="s">
        <v>3</v>
      </c>
      <c r="C4" s="9"/>
      <c r="D4" s="9"/>
      <c r="E4" s="9"/>
      <c r="F4" s="9"/>
      <c r="G4" s="9"/>
      <c r="H4" s="10"/>
    </row>
    <row r="5" ht="21.75" spans="2:8">
      <c r="B5" s="11" t="s">
        <v>4</v>
      </c>
      <c r="C5" s="12"/>
      <c r="D5" s="12"/>
      <c r="E5" s="12"/>
      <c r="F5" s="12"/>
      <c r="G5" s="12"/>
      <c r="H5" s="13"/>
    </row>
    <row r="6" spans="2:8">
      <c r="B6" s="14" t="s">
        <v>5</v>
      </c>
      <c r="C6" s="15"/>
      <c r="D6" s="15"/>
      <c r="E6" s="15"/>
      <c r="F6" s="15"/>
      <c r="G6" s="15"/>
      <c r="H6" s="16"/>
    </row>
    <row r="7" spans="2:8">
      <c r="B7" s="17" t="s">
        <v>6</v>
      </c>
      <c r="C7" s="18"/>
      <c r="D7" s="18"/>
      <c r="E7" s="18"/>
      <c r="F7" s="18"/>
      <c r="G7" s="18"/>
      <c r="H7" s="19"/>
    </row>
    <row r="8" ht="15.75" customHeight="1" spans="2:8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8">
      <c r="B9" s="25" t="s">
        <v>9</v>
      </c>
      <c r="C9" s="21"/>
      <c r="D9" s="26" t="s">
        <v>10</v>
      </c>
      <c r="E9" s="26"/>
      <c r="F9" s="27" t="s">
        <v>82</v>
      </c>
      <c r="G9" s="28" t="s">
        <v>12</v>
      </c>
      <c r="H9" s="29">
        <v>46288</v>
      </c>
    </row>
    <row r="10" spans="2:8">
      <c r="B10" s="20" t="s">
        <v>13</v>
      </c>
      <c r="C10" s="21"/>
      <c r="D10" s="26" t="s">
        <v>14</v>
      </c>
      <c r="E10" s="26"/>
      <c r="F10" s="27" t="s">
        <v>82</v>
      </c>
      <c r="G10" s="28" t="s">
        <v>12</v>
      </c>
      <c r="H10" s="29">
        <v>46288</v>
      </c>
    </row>
    <row r="11" spans="2:8">
      <c r="B11" s="20" t="s">
        <v>15</v>
      </c>
      <c r="C11" s="21"/>
      <c r="D11" s="26" t="s">
        <v>16</v>
      </c>
      <c r="E11" s="26"/>
      <c r="F11" s="30"/>
      <c r="G11" s="31" t="s">
        <v>12</v>
      </c>
      <c r="H11" s="29"/>
    </row>
    <row r="12" spans="2:8">
      <c r="B12" s="20" t="s">
        <v>17</v>
      </c>
      <c r="C12" s="21"/>
      <c r="D12" s="26" t="s">
        <v>18</v>
      </c>
      <c r="E12" s="26"/>
      <c r="F12" s="32" t="s">
        <v>83</v>
      </c>
      <c r="G12" s="31" t="s">
        <v>12</v>
      </c>
      <c r="H12" s="29">
        <v>46285</v>
      </c>
    </row>
    <row r="13" spans="2:8">
      <c r="B13" s="20" t="s">
        <v>20</v>
      </c>
      <c r="C13" s="21"/>
      <c r="D13" s="26" t="s">
        <v>21</v>
      </c>
      <c r="E13" s="26"/>
      <c r="F13" s="33"/>
      <c r="G13" s="34" t="s">
        <v>12</v>
      </c>
      <c r="H13" s="29"/>
    </row>
    <row r="14" spans="2:8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8">
      <c r="B15" s="37" t="s">
        <v>26</v>
      </c>
      <c r="C15" s="38"/>
      <c r="D15" s="38" t="s">
        <v>27</v>
      </c>
      <c r="E15" s="38"/>
      <c r="F15" s="38" t="s">
        <v>28</v>
      </c>
      <c r="G15" s="39" t="s">
        <v>29</v>
      </c>
      <c r="H15" s="40"/>
    </row>
    <row r="16" ht="3.75" customHeight="1" spans="2:8">
      <c r="B16" s="41"/>
      <c r="H16" s="42"/>
    </row>
    <row r="17" ht="39" spans="2:13">
      <c r="B17" s="43" t="s">
        <v>30</v>
      </c>
      <c r="C17" s="44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M17" t="s">
        <v>37</v>
      </c>
    </row>
    <row r="18" customHeight="1" spans="2:13">
      <c r="B18" s="47">
        <v>1</v>
      </c>
      <c r="C18" s="48" t="s">
        <v>84</v>
      </c>
      <c r="D18" s="49">
        <v>84663020</v>
      </c>
      <c r="E18" s="50" t="s">
        <v>39</v>
      </c>
      <c r="F18" s="51">
        <v>8</v>
      </c>
      <c r="G18" s="52">
        <v>3700</v>
      </c>
      <c r="H18" s="53">
        <f>SUM(F18*G18)</f>
        <v>29600</v>
      </c>
    </row>
    <row r="19" spans="2:13">
      <c r="B19" s="54"/>
      <c r="C19" s="55" t="s">
        <v>85</v>
      </c>
      <c r="D19" s="56"/>
      <c r="E19" s="50"/>
      <c r="F19" s="51"/>
      <c r="G19" s="57"/>
      <c r="H19" s="53"/>
    </row>
    <row r="20" customHeight="1" spans="2:13">
      <c r="B20" s="54"/>
      <c r="C20" s="32"/>
      <c r="D20" s="58"/>
      <c r="E20" s="50"/>
      <c r="F20" s="51"/>
      <c r="G20" s="57"/>
      <c r="H20" s="53"/>
      <c r="L20" s="59"/>
    </row>
    <row r="21" customHeight="1" spans="2:13">
      <c r="B21" s="54"/>
      <c r="C21" s="60"/>
      <c r="D21" s="61"/>
      <c r="E21" s="50"/>
      <c r="F21" s="51"/>
      <c r="G21" s="57"/>
      <c r="H21" s="53"/>
      <c r="L21" s="59"/>
    </row>
    <row r="22" spans="2:13">
      <c r="B22" s="62"/>
      <c r="C22" s="32"/>
      <c r="D22" s="58"/>
      <c r="E22" s="50"/>
      <c r="F22" s="51"/>
      <c r="G22" s="57"/>
      <c r="H22" s="53"/>
    </row>
    <row r="23" customHeight="1" spans="2:13">
      <c r="B23" s="62"/>
      <c r="C23" s="60"/>
      <c r="D23" s="56"/>
      <c r="E23" s="50"/>
      <c r="F23" s="51"/>
      <c r="G23" s="57"/>
      <c r="H23" s="53"/>
    </row>
    <row r="24" spans="2:13">
      <c r="B24" s="62"/>
      <c r="C24" s="32"/>
      <c r="D24" s="63"/>
      <c r="E24" s="50"/>
      <c r="F24" s="51"/>
      <c r="G24" s="57"/>
      <c r="H24" s="53"/>
    </row>
    <row r="25" spans="2:13">
      <c r="B25" s="62"/>
      <c r="C25" s="64"/>
      <c r="D25" s="63"/>
      <c r="E25" s="50"/>
      <c r="F25" s="51"/>
      <c r="G25" s="57"/>
      <c r="H25" s="53"/>
    </row>
    <row r="26" spans="2:13">
      <c r="B26" s="62"/>
      <c r="C26" s="32"/>
      <c r="D26" s="63"/>
      <c r="E26" s="50"/>
      <c r="F26" s="51"/>
      <c r="G26" s="57"/>
      <c r="H26" s="53"/>
    </row>
    <row r="27" spans="2:13">
      <c r="B27" s="62"/>
      <c r="C27" s="65"/>
      <c r="D27" s="27"/>
      <c r="E27" s="27"/>
      <c r="F27" s="66"/>
      <c r="G27" s="57"/>
      <c r="H27" s="53"/>
    </row>
    <row r="28" spans="2:13">
      <c r="B28" s="62"/>
      <c r="C28" s="32"/>
      <c r="D28" s="63"/>
      <c r="E28" s="50"/>
      <c r="F28" s="51"/>
      <c r="G28" s="57"/>
      <c r="H28" s="53"/>
    </row>
    <row r="29" spans="2:13">
      <c r="B29" s="62"/>
      <c r="C29" s="65"/>
      <c r="D29" s="27"/>
      <c r="E29" s="27"/>
      <c r="F29" s="66"/>
      <c r="G29" s="57"/>
      <c r="H29" s="53"/>
    </row>
    <row r="30" customHeight="1" spans="2:13">
      <c r="B30" s="62"/>
      <c r="C30" s="67"/>
      <c r="D30" s="63"/>
      <c r="E30" s="50"/>
      <c r="F30" s="51"/>
      <c r="G30" s="68"/>
      <c r="H30" s="69"/>
    </row>
    <row r="31" customHeight="1" spans="2:13">
      <c r="B31" s="20"/>
      <c r="C31" s="65"/>
      <c r="D31" s="21"/>
      <c r="E31" s="21"/>
      <c r="F31" s="66"/>
      <c r="G31" s="70"/>
      <c r="H31" s="69"/>
    </row>
    <row r="32" customHeight="1" spans="2:13">
      <c r="B32" s="62"/>
      <c r="C32" s="32"/>
      <c r="D32" s="63"/>
      <c r="E32" s="50"/>
      <c r="F32" s="51"/>
      <c r="G32" s="70"/>
      <c r="H32" s="69"/>
    </row>
    <row r="33" customHeight="1" spans="2:9">
      <c r="B33" s="20"/>
      <c r="C33" s="65"/>
      <c r="D33" s="21"/>
      <c r="E33" s="21"/>
      <c r="F33" s="66"/>
      <c r="G33" s="70"/>
      <c r="H33" s="69"/>
    </row>
    <row r="34" customHeight="1" spans="2:9">
      <c r="B34" s="71" t="s">
        <v>42</v>
      </c>
      <c r="C34" s="72"/>
      <c r="D34" s="66" t="s">
        <v>43</v>
      </c>
      <c r="E34" s="73"/>
      <c r="F34" s="27">
        <f>SUM(F18:F33)</f>
        <v>8</v>
      </c>
      <c r="G34" s="21"/>
      <c r="H34" s="74"/>
    </row>
    <row r="35" spans="2:9">
      <c r="B35" s="75"/>
      <c r="C35" s="76"/>
      <c r="D35" s="76"/>
      <c r="E35" s="77"/>
      <c r="F35" s="26" t="s">
        <v>44</v>
      </c>
      <c r="G35" s="26"/>
      <c r="H35" s="78">
        <f>SUM(H18:H34)</f>
        <v>29600</v>
      </c>
    </row>
    <row r="36" spans="2:9">
      <c r="B36" s="79" t="s">
        <v>45</v>
      </c>
      <c r="C36" s="80"/>
      <c r="E36" s="81"/>
      <c r="F36" s="21" t="s">
        <v>46</v>
      </c>
      <c r="G36" s="82">
        <v>0.09</v>
      </c>
      <c r="H36" s="78">
        <f>SUM(H35*G36)</f>
        <v>2664</v>
      </c>
    </row>
    <row r="37" spans="2:9">
      <c r="B37" s="83" t="s">
        <v>47</v>
      </c>
      <c r="C37" s="84"/>
      <c r="E37" s="81"/>
      <c r="F37" s="21" t="s">
        <v>48</v>
      </c>
      <c r="G37" s="82">
        <v>0.09</v>
      </c>
      <c r="H37" s="78">
        <f>SUM(H35*G37)</f>
        <v>2664</v>
      </c>
    </row>
    <row r="38" spans="2:9">
      <c r="B38" s="83" t="s">
        <v>49</v>
      </c>
      <c r="C38" s="84"/>
      <c r="E38" s="81"/>
      <c r="F38" s="21" t="s">
        <v>50</v>
      </c>
      <c r="G38" s="82">
        <v>0.18</v>
      </c>
      <c r="H38" s="85" t="s">
        <v>51</v>
      </c>
    </row>
    <row r="39" spans="2:9">
      <c r="B39" s="83" t="s">
        <v>52</v>
      </c>
      <c r="C39" s="84"/>
      <c r="E39" s="81"/>
      <c r="F39" s="86" t="s">
        <v>53</v>
      </c>
      <c r="G39" s="87"/>
      <c r="H39" s="78">
        <f>SUM(H36:H38)</f>
        <v>5328</v>
      </c>
    </row>
    <row r="40" spans="2:9">
      <c r="B40" s="83" t="s">
        <v>54</v>
      </c>
      <c r="C40" s="84"/>
      <c r="E40" s="81"/>
      <c r="F40" s="88" t="s">
        <v>55</v>
      </c>
      <c r="G40" s="88"/>
      <c r="H40" s="89">
        <f>SUM(H35+H39+H42)</f>
        <v>34928</v>
      </c>
    </row>
    <row r="41" spans="2:9">
      <c r="B41" s="90"/>
      <c r="C41" s="91"/>
      <c r="D41" s="91"/>
      <c r="E41" s="92"/>
      <c r="F41" s="93" t="s">
        <v>56</v>
      </c>
      <c r="G41" s="93"/>
      <c r="H41" s="74"/>
    </row>
    <row r="42" ht="29.4" customHeight="1" spans="2:9">
      <c r="B42" s="94" t="s">
        <v>86</v>
      </c>
      <c r="C42" s="95"/>
      <c r="D42" s="95"/>
      <c r="E42" s="96"/>
      <c r="F42" s="97" t="s">
        <v>58</v>
      </c>
      <c r="G42" s="98"/>
      <c r="H42" s="99"/>
    </row>
    <row r="43" ht="27.6" customHeight="1" spans="2:9">
      <c r="B43" s="100" t="s">
        <v>59</v>
      </c>
      <c r="C43" s="101"/>
      <c r="D43" s="101"/>
      <c r="E43" s="102" t="s">
        <v>60</v>
      </c>
      <c r="F43" s="102"/>
      <c r="G43" s="102"/>
      <c r="H43" s="103"/>
    </row>
    <row r="44" ht="18.75" spans="2:9">
      <c r="B44" s="104" t="s">
        <v>61</v>
      </c>
      <c r="E44" s="105" t="s">
        <v>62</v>
      </c>
      <c r="F44" s="105"/>
      <c r="G44" s="105"/>
      <c r="H44" s="106"/>
      <c r="I44" s="107"/>
    </row>
    <row r="45" ht="18.75" spans="2:9">
      <c r="B45" s="108" t="s">
        <v>63</v>
      </c>
      <c r="C45" s="109"/>
      <c r="D45" s="110"/>
      <c r="E45" s="110"/>
      <c r="F45" s="111"/>
      <c r="G45" s="111"/>
      <c r="H45" s="42"/>
    </row>
    <row r="46" spans="2:9">
      <c r="B46" s="112" t="s">
        <v>64</v>
      </c>
      <c r="C46" s="113"/>
      <c r="D46" s="113"/>
      <c r="E46" s="113"/>
      <c r="F46" s="114"/>
      <c r="G46" s="111"/>
      <c r="H46" s="42"/>
    </row>
    <row r="47" spans="2:9">
      <c r="B47" s="112" t="s">
        <v>65</v>
      </c>
      <c r="C47" s="113"/>
      <c r="D47" s="113"/>
      <c r="E47" s="113"/>
      <c r="F47" s="114"/>
      <c r="G47" s="111"/>
      <c r="H47" s="42"/>
    </row>
    <row r="48" spans="2:9">
      <c r="B48" s="41"/>
      <c r="F48" s="111"/>
      <c r="G48" s="111"/>
      <c r="H48" s="42"/>
    </row>
    <row r="49" ht="15.75" spans="2:24">
      <c r="B49" s="115" t="s">
        <v>66</v>
      </c>
      <c r="C49" s="116"/>
      <c r="D49" s="116"/>
      <c r="E49" s="116"/>
      <c r="F49" s="116"/>
      <c r="G49" s="116"/>
      <c r="H49" s="117" t="s">
        <v>67</v>
      </c>
    </row>
    <row r="50" spans="2:24">
      <c r="H50" s="118"/>
    </row>
    <row r="51" ht="15.75" customHeight="1" spans="2:24">
      <c r="B51" s="1" t="s">
        <v>68</v>
      </c>
      <c r="C51" s="1"/>
      <c r="D51" s="1"/>
      <c r="E51" s="1"/>
      <c r="F51" s="1"/>
      <c r="G51" s="1"/>
      <c r="H51" s="1"/>
    </row>
    <row r="52" ht="21" spans="2:24">
      <c r="B52" s="2" t="s">
        <v>1</v>
      </c>
      <c r="C52" s="3"/>
      <c r="D52" s="3"/>
      <c r="E52" s="3"/>
      <c r="F52" s="3"/>
      <c r="G52" s="3"/>
      <c r="H52" s="4"/>
    </row>
    <row r="53" ht="28.5" spans="2:24">
      <c r="B53" s="5" t="s">
        <v>2</v>
      </c>
      <c r="C53" s="6"/>
      <c r="D53" s="6"/>
      <c r="E53" s="6"/>
      <c r="F53" s="6"/>
      <c r="G53" s="6"/>
      <c r="H53" s="7"/>
    </row>
    <row r="54" spans="2:24">
      <c r="B54" s="8" t="s">
        <v>3</v>
      </c>
      <c r="C54" s="9"/>
      <c r="D54" s="9"/>
      <c r="E54" s="9"/>
      <c r="F54" s="9"/>
      <c r="G54" s="9"/>
      <c r="H54" s="10"/>
    </row>
    <row r="55" ht="21.75" spans="2:24">
      <c r="B55" s="11" t="s">
        <v>4</v>
      </c>
      <c r="C55" s="12"/>
      <c r="D55" s="12"/>
      <c r="E55" s="12"/>
      <c r="F55" s="12"/>
      <c r="G55" s="12"/>
      <c r="H55" s="13"/>
    </row>
    <row r="56" spans="2:24">
      <c r="B56" s="14" t="s">
        <v>5</v>
      </c>
      <c r="C56" s="15"/>
      <c r="D56" s="15"/>
      <c r="E56" s="15"/>
      <c r="F56" s="15"/>
      <c r="G56" s="15"/>
      <c r="H56" s="16"/>
    </row>
    <row r="57" spans="2:24">
      <c r="B57" s="17" t="s">
        <v>6</v>
      </c>
      <c r="C57" s="18"/>
      <c r="D57" s="18"/>
      <c r="E57" s="18"/>
      <c r="F57" s="18"/>
      <c r="G57" s="18"/>
      <c r="H57" s="19"/>
      <c r="X57" s="119"/>
    </row>
    <row r="58" ht="15.75" customHeight="1" spans="2:24">
      <c r="B58" s="20" t="s">
        <v>7</v>
      </c>
      <c r="C58" s="21"/>
      <c r="D58" s="22" t="s">
        <v>8</v>
      </c>
      <c r="E58" s="23"/>
      <c r="F58" s="23"/>
      <c r="G58" s="23"/>
      <c r="H58" s="24"/>
    </row>
    <row r="59" ht="21" spans="2:24">
      <c r="B59" s="25" t="s">
        <v>9</v>
      </c>
      <c r="C59" s="21"/>
      <c r="D59" s="26" t="s">
        <v>10</v>
      </c>
      <c r="E59" s="26"/>
      <c r="F59" s="27" t="s">
        <v>82</v>
      </c>
      <c r="G59" s="28" t="s">
        <v>12</v>
      </c>
      <c r="H59" s="29">
        <v>46288</v>
      </c>
    </row>
    <row r="60" spans="2:24">
      <c r="B60" s="20" t="s">
        <v>13</v>
      </c>
      <c r="C60" s="21"/>
      <c r="D60" s="26" t="s">
        <v>14</v>
      </c>
      <c r="E60" s="26"/>
      <c r="F60" s="27" t="s">
        <v>82</v>
      </c>
      <c r="G60" s="28" t="s">
        <v>12</v>
      </c>
      <c r="H60" s="29">
        <v>46288</v>
      </c>
    </row>
    <row r="61" spans="2:24">
      <c r="B61" s="20" t="s">
        <v>15</v>
      </c>
      <c r="C61" s="21"/>
      <c r="D61" s="26" t="s">
        <v>16</v>
      </c>
      <c r="E61" s="26"/>
      <c r="F61" s="30"/>
      <c r="G61" s="31" t="s">
        <v>12</v>
      </c>
      <c r="H61" s="29"/>
    </row>
    <row r="62" spans="2:24">
      <c r="B62" s="20" t="s">
        <v>17</v>
      </c>
      <c r="C62" s="21"/>
      <c r="D62" s="26" t="s">
        <v>18</v>
      </c>
      <c r="E62" s="26"/>
      <c r="F62" s="32" t="s">
        <v>83</v>
      </c>
      <c r="G62" s="31" t="s">
        <v>12</v>
      </c>
      <c r="H62" s="29">
        <v>46285</v>
      </c>
    </row>
    <row r="63" spans="2:24">
      <c r="B63" s="20" t="s">
        <v>20</v>
      </c>
      <c r="C63" s="21"/>
      <c r="D63" s="26" t="s">
        <v>21</v>
      </c>
      <c r="E63" s="26"/>
      <c r="F63" s="33"/>
      <c r="G63" s="34" t="s">
        <v>12</v>
      </c>
      <c r="H63" s="29"/>
    </row>
    <row r="64" spans="2:24">
      <c r="B64" s="35" t="s">
        <v>22</v>
      </c>
      <c r="C64" s="26"/>
      <c r="D64" s="26" t="s">
        <v>23</v>
      </c>
      <c r="E64" s="26"/>
      <c r="F64" s="21" t="s">
        <v>24</v>
      </c>
      <c r="G64" s="28" t="s">
        <v>25</v>
      </c>
      <c r="H64" s="36"/>
    </row>
    <row r="65" ht="15.75" spans="2:8">
      <c r="B65" s="37" t="s">
        <v>26</v>
      </c>
      <c r="C65" s="38"/>
      <c r="D65" s="38" t="s">
        <v>27</v>
      </c>
      <c r="E65" s="38"/>
      <c r="F65" s="38" t="s">
        <v>28</v>
      </c>
      <c r="G65" s="39" t="s">
        <v>29</v>
      </c>
      <c r="H65" s="40"/>
    </row>
    <row r="66" ht="4.5" customHeight="1" spans="2:8">
      <c r="B66" s="41"/>
      <c r="H66" s="42"/>
    </row>
    <row r="67" ht="39" spans="2:8">
      <c r="B67" s="43" t="s">
        <v>30</v>
      </c>
      <c r="C67" s="44" t="s">
        <v>31</v>
      </c>
      <c r="D67" s="45" t="s">
        <v>32</v>
      </c>
      <c r="E67" s="44" t="s">
        <v>33</v>
      </c>
      <c r="F67" s="44" t="s">
        <v>34</v>
      </c>
      <c r="G67" s="44" t="s">
        <v>35</v>
      </c>
      <c r="H67" s="46" t="s">
        <v>36</v>
      </c>
    </row>
    <row r="68" customHeight="1" spans="2:8">
      <c r="B68" s="47">
        <v>1</v>
      </c>
      <c r="C68" s="48" t="s">
        <v>84</v>
      </c>
      <c r="D68" s="49">
        <v>84663020</v>
      </c>
      <c r="E68" s="50" t="s">
        <v>39</v>
      </c>
      <c r="F68" s="51">
        <v>8</v>
      </c>
      <c r="G68" s="52">
        <v>3700</v>
      </c>
      <c r="H68" s="53">
        <f>SUM(F68*G68)</f>
        <v>29600</v>
      </c>
    </row>
    <row r="69" spans="2:8">
      <c r="B69" s="54"/>
      <c r="C69" s="55" t="s">
        <v>85</v>
      </c>
      <c r="D69" s="56"/>
      <c r="E69" s="50"/>
      <c r="F69" s="51"/>
      <c r="G69" s="57"/>
      <c r="H69" s="53"/>
    </row>
    <row r="70" customHeight="1" spans="2:8">
      <c r="B70" s="54"/>
      <c r="C70" s="32"/>
      <c r="D70" s="58"/>
      <c r="E70" s="50"/>
      <c r="F70" s="51"/>
      <c r="G70" s="57"/>
      <c r="H70" s="53"/>
    </row>
    <row r="71" spans="2:8">
      <c r="B71" s="54"/>
      <c r="C71" s="60"/>
      <c r="D71" s="61"/>
      <c r="E71" s="50"/>
      <c r="F71" s="51"/>
      <c r="G71" s="57"/>
      <c r="H71" s="53"/>
    </row>
    <row r="72" customHeight="1" spans="2:8">
      <c r="B72" s="62"/>
      <c r="C72" s="32"/>
      <c r="D72" s="58"/>
      <c r="E72" s="50"/>
      <c r="F72" s="51"/>
      <c r="G72" s="57"/>
      <c r="H72" s="53"/>
    </row>
    <row r="73" spans="2:8">
      <c r="B73" s="62"/>
      <c r="C73" s="60"/>
      <c r="D73" s="56"/>
      <c r="E73" s="50"/>
      <c r="F73" s="51"/>
      <c r="G73" s="57"/>
      <c r="H73" s="53"/>
    </row>
    <row r="74" spans="2:8">
      <c r="B74" s="62"/>
      <c r="C74" s="32"/>
      <c r="D74" s="63"/>
      <c r="E74" s="50"/>
      <c r="F74" s="51"/>
      <c r="G74" s="57"/>
      <c r="H74" s="53"/>
    </row>
    <row r="75" spans="2:8">
      <c r="B75" s="62"/>
      <c r="C75" s="64"/>
      <c r="D75" s="63"/>
      <c r="E75" s="50"/>
      <c r="F75" s="51"/>
      <c r="G75" s="57"/>
      <c r="H75" s="53"/>
    </row>
    <row r="76" spans="2:8">
      <c r="B76" s="62"/>
      <c r="C76" s="32"/>
      <c r="D76" s="63"/>
      <c r="E76" s="50"/>
      <c r="F76" s="51"/>
      <c r="G76" s="57"/>
      <c r="H76" s="53"/>
    </row>
    <row r="77" spans="2:8">
      <c r="B77" s="62"/>
      <c r="C77" s="65"/>
      <c r="D77" s="27"/>
      <c r="E77" s="27"/>
      <c r="F77" s="66"/>
      <c r="G77" s="57"/>
      <c r="H77" s="53"/>
    </row>
    <row r="78" spans="2:8">
      <c r="B78" s="62"/>
      <c r="C78" s="32"/>
      <c r="D78" s="63"/>
      <c r="E78" s="50"/>
      <c r="F78" s="51"/>
      <c r="G78" s="57"/>
      <c r="H78" s="53"/>
    </row>
    <row r="79" spans="2:8">
      <c r="B79" s="62"/>
      <c r="C79" s="65"/>
      <c r="D79" s="27"/>
      <c r="E79" s="27"/>
      <c r="F79" s="66"/>
      <c r="G79" s="57"/>
      <c r="H79" s="53"/>
    </row>
    <row r="80" spans="2:8">
      <c r="B80" s="62"/>
      <c r="C80" s="67"/>
      <c r="D80" s="63"/>
      <c r="E80" s="50"/>
      <c r="F80" s="51"/>
      <c r="G80" s="68"/>
      <c r="H80" s="69"/>
    </row>
    <row r="81" spans="2:9">
      <c r="B81" s="20"/>
      <c r="C81" s="65"/>
      <c r="D81" s="21"/>
      <c r="E81" s="21"/>
      <c r="F81" s="66"/>
      <c r="G81" s="70"/>
      <c r="H81" s="69"/>
    </row>
    <row r="82" spans="2:9">
      <c r="B82" s="62"/>
      <c r="C82" s="32"/>
      <c r="D82" s="63"/>
      <c r="E82" s="50"/>
      <c r="F82" s="51"/>
      <c r="G82" s="70"/>
      <c r="H82" s="69"/>
    </row>
    <row r="83" spans="2:9">
      <c r="B83" s="20"/>
      <c r="C83" s="65"/>
      <c r="D83" s="21"/>
      <c r="E83" s="21"/>
      <c r="F83" s="66"/>
      <c r="G83" s="70"/>
      <c r="H83" s="69"/>
    </row>
    <row r="84" ht="21" spans="2:9">
      <c r="B84" s="71" t="s">
        <v>42</v>
      </c>
      <c r="C84" s="72"/>
      <c r="D84" s="66" t="s">
        <v>43</v>
      </c>
      <c r="E84" s="73"/>
      <c r="F84" s="27">
        <f>SUM(F68:F83)</f>
        <v>8</v>
      </c>
      <c r="G84" s="21"/>
      <c r="H84" s="74"/>
    </row>
    <row r="85" spans="2:9">
      <c r="B85" s="75"/>
      <c r="C85" s="76"/>
      <c r="D85" s="76"/>
      <c r="E85" s="77"/>
      <c r="F85" s="26" t="s">
        <v>44</v>
      </c>
      <c r="G85" s="26"/>
      <c r="H85" s="78">
        <f>SUM(H68:H84)</f>
        <v>29600</v>
      </c>
    </row>
    <row r="86" spans="2:9">
      <c r="B86" s="79" t="s">
        <v>45</v>
      </c>
      <c r="C86" s="80"/>
      <c r="E86" s="81"/>
      <c r="F86" s="21" t="s">
        <v>46</v>
      </c>
      <c r="G86" s="82">
        <v>0.09</v>
      </c>
      <c r="H86" s="78">
        <f>SUM(H85*G86)</f>
        <v>2664</v>
      </c>
    </row>
    <row r="87" spans="2:9">
      <c r="B87" s="83" t="s">
        <v>47</v>
      </c>
      <c r="C87" s="84"/>
      <c r="E87" s="81"/>
      <c r="F87" s="21" t="s">
        <v>48</v>
      </c>
      <c r="G87" s="82">
        <v>0.09</v>
      </c>
      <c r="H87" s="78">
        <f>SUM(H85*G87)</f>
        <v>2664</v>
      </c>
    </row>
    <row r="88" spans="2:9">
      <c r="B88" s="83" t="s">
        <v>49</v>
      </c>
      <c r="C88" s="84"/>
      <c r="E88" s="81"/>
      <c r="F88" s="21" t="s">
        <v>50</v>
      </c>
      <c r="G88" s="82">
        <v>0.18</v>
      </c>
      <c r="H88" s="85" t="s">
        <v>51</v>
      </c>
    </row>
    <row r="89" spans="2:9">
      <c r="B89" s="83" t="s">
        <v>52</v>
      </c>
      <c r="C89" s="84"/>
      <c r="E89" s="81"/>
      <c r="F89" s="86" t="s">
        <v>53</v>
      </c>
      <c r="G89" s="87"/>
      <c r="H89" s="78">
        <f>SUM(H86:H88)</f>
        <v>5328</v>
      </c>
    </row>
    <row r="90" customHeight="1" spans="2:9">
      <c r="B90" s="83" t="s">
        <v>54</v>
      </c>
      <c r="C90" s="84"/>
      <c r="E90" s="81"/>
      <c r="F90" s="88" t="s">
        <v>55</v>
      </c>
      <c r="G90" s="88"/>
      <c r="H90" s="89">
        <f>SUM(H85+H89+H92)</f>
        <v>34928</v>
      </c>
    </row>
    <row r="91" spans="2:9">
      <c r="B91" s="90"/>
      <c r="C91" s="91"/>
      <c r="D91" s="91"/>
      <c r="E91" s="92"/>
      <c r="F91" s="93" t="s">
        <v>56</v>
      </c>
      <c r="G91" s="93"/>
      <c r="H91" s="74"/>
      <c r="I91" s="59"/>
    </row>
    <row r="92" ht="29.4" customHeight="1" spans="2:9">
      <c r="B92" s="94" t="s">
        <v>86</v>
      </c>
      <c r="C92" s="95"/>
      <c r="D92" s="95"/>
      <c r="E92" s="96"/>
      <c r="F92" s="97" t="s">
        <v>58</v>
      </c>
      <c r="G92" s="98"/>
      <c r="H92" s="99"/>
    </row>
    <row r="93" ht="29.25" customHeight="1" spans="2:9">
      <c r="B93" s="100" t="s">
        <v>59</v>
      </c>
      <c r="C93" s="101"/>
      <c r="D93" s="101"/>
      <c r="E93" s="102" t="s">
        <v>60</v>
      </c>
      <c r="F93" s="102"/>
      <c r="G93" s="102"/>
      <c r="H93" s="103"/>
    </row>
    <row r="94" ht="18.75" spans="2:9">
      <c r="B94" s="104" t="s">
        <v>61</v>
      </c>
      <c r="E94" s="105" t="s">
        <v>62</v>
      </c>
      <c r="F94" s="105"/>
      <c r="G94" s="105"/>
      <c r="H94" s="106"/>
    </row>
    <row r="95" ht="18.75" spans="2:9">
      <c r="B95" s="108" t="s">
        <v>63</v>
      </c>
      <c r="C95" s="109"/>
      <c r="D95" s="110"/>
      <c r="E95" s="110"/>
      <c r="F95" s="111"/>
      <c r="G95" s="111"/>
      <c r="H95" s="42"/>
    </row>
    <row r="96" spans="2:9">
      <c r="B96" s="112" t="s">
        <v>64</v>
      </c>
      <c r="C96" s="113"/>
      <c r="D96" s="113"/>
      <c r="E96" s="113"/>
      <c r="F96" s="114"/>
      <c r="G96" s="111"/>
      <c r="H96" s="42"/>
    </row>
    <row r="97" spans="2:8">
      <c r="B97" s="112" t="s">
        <v>65</v>
      </c>
      <c r="C97" s="113"/>
      <c r="D97" s="113"/>
      <c r="E97" s="113"/>
      <c r="F97" s="114"/>
      <c r="G97" s="111"/>
      <c r="H97" s="42"/>
    </row>
    <row r="98" spans="2:8">
      <c r="B98" s="41"/>
      <c r="F98" s="111"/>
      <c r="G98" s="111"/>
      <c r="H98" s="42"/>
    </row>
    <row r="99" ht="15.75" spans="2:8">
      <c r="B99" s="115" t="s">
        <v>66</v>
      </c>
      <c r="C99" s="116"/>
      <c r="D99" s="116"/>
      <c r="E99" s="116"/>
      <c r="F99" s="116"/>
      <c r="G99" s="116"/>
      <c r="H99" s="117" t="s">
        <v>67</v>
      </c>
    </row>
    <row r="100" spans="2:8">
      <c r="H100" s="118"/>
    </row>
    <row r="101" ht="18" customHeight="1" spans="2:8">
      <c r="B101" s="120" t="s">
        <v>69</v>
      </c>
      <c r="C101" s="120"/>
      <c r="D101" s="120"/>
      <c r="E101" s="120"/>
      <c r="F101" s="120"/>
      <c r="G101" s="120"/>
      <c r="H101" s="120"/>
    </row>
    <row r="102" ht="21" spans="2:8">
      <c r="B102" s="2" t="s">
        <v>1</v>
      </c>
      <c r="C102" s="3"/>
      <c r="D102" s="3"/>
      <c r="E102" s="3"/>
      <c r="F102" s="3"/>
      <c r="G102" s="3"/>
      <c r="H102" s="4"/>
    </row>
    <row r="103" ht="28.5" spans="2:8">
      <c r="B103" s="5" t="s">
        <v>2</v>
      </c>
      <c r="C103" s="6"/>
      <c r="D103" s="6"/>
      <c r="E103" s="6"/>
      <c r="F103" s="6"/>
      <c r="G103" s="6"/>
      <c r="H103" s="7"/>
    </row>
    <row r="104" spans="2:8">
      <c r="B104" s="8" t="s">
        <v>3</v>
      </c>
      <c r="C104" s="9"/>
      <c r="D104" s="9"/>
      <c r="E104" s="9"/>
      <c r="F104" s="9"/>
      <c r="G104" s="9"/>
      <c r="H104" s="10"/>
    </row>
    <row r="105" ht="21.75" spans="2:8">
      <c r="B105" s="11" t="s">
        <v>4</v>
      </c>
      <c r="C105" s="12"/>
      <c r="D105" s="12"/>
      <c r="E105" s="12"/>
      <c r="F105" s="12"/>
      <c r="G105" s="12"/>
      <c r="H105" s="13"/>
    </row>
    <row r="106" spans="2:8">
      <c r="B106" s="14" t="s">
        <v>5</v>
      </c>
      <c r="C106" s="15"/>
      <c r="D106" s="15"/>
      <c r="E106" s="15"/>
      <c r="F106" s="15"/>
      <c r="G106" s="15"/>
      <c r="H106" s="16"/>
    </row>
    <row r="107" spans="2:8">
      <c r="B107" s="17" t="s">
        <v>6</v>
      </c>
      <c r="C107" s="18"/>
      <c r="D107" s="18"/>
      <c r="E107" s="18"/>
      <c r="F107" s="18"/>
      <c r="G107" s="18"/>
      <c r="H107" s="19"/>
    </row>
    <row r="108" ht="15.75" customHeight="1" spans="2:8">
      <c r="B108" s="20" t="s">
        <v>7</v>
      </c>
      <c r="C108" s="21"/>
      <c r="D108" s="22" t="s">
        <v>8</v>
      </c>
      <c r="E108" s="23"/>
      <c r="F108" s="23"/>
      <c r="G108" s="23"/>
      <c r="H108" s="24"/>
    </row>
    <row r="109" ht="21" spans="2:8">
      <c r="B109" s="25" t="s">
        <v>9</v>
      </c>
      <c r="C109" s="21"/>
      <c r="D109" s="26" t="s">
        <v>10</v>
      </c>
      <c r="E109" s="26"/>
      <c r="F109" s="27" t="s">
        <v>82</v>
      </c>
      <c r="G109" s="28" t="s">
        <v>12</v>
      </c>
      <c r="H109" s="29">
        <v>46288</v>
      </c>
    </row>
    <row r="110" spans="2:8">
      <c r="B110" s="20" t="s">
        <v>13</v>
      </c>
      <c r="C110" s="21"/>
      <c r="D110" s="26" t="s">
        <v>14</v>
      </c>
      <c r="E110" s="26"/>
      <c r="F110" s="27" t="s">
        <v>82</v>
      </c>
      <c r="G110" s="28" t="s">
        <v>12</v>
      </c>
      <c r="H110" s="29">
        <v>46288</v>
      </c>
    </row>
    <row r="111" spans="2:8">
      <c r="B111" s="20" t="s">
        <v>15</v>
      </c>
      <c r="C111" s="21"/>
      <c r="D111" s="26" t="s">
        <v>16</v>
      </c>
      <c r="E111" s="26"/>
      <c r="F111" s="30"/>
      <c r="G111" s="31" t="s">
        <v>12</v>
      </c>
      <c r="H111" s="29"/>
    </row>
    <row r="112" spans="2:8">
      <c r="B112" s="20" t="s">
        <v>17</v>
      </c>
      <c r="C112" s="21"/>
      <c r="D112" s="26" t="s">
        <v>18</v>
      </c>
      <c r="E112" s="26"/>
      <c r="F112" s="32" t="s">
        <v>83</v>
      </c>
      <c r="G112" s="31" t="s">
        <v>12</v>
      </c>
      <c r="H112" s="29">
        <v>46285</v>
      </c>
    </row>
    <row r="113" spans="2:8">
      <c r="B113" s="20" t="s">
        <v>20</v>
      </c>
      <c r="C113" s="21"/>
      <c r="D113" s="26" t="s">
        <v>21</v>
      </c>
      <c r="E113" s="26"/>
      <c r="F113" s="33"/>
      <c r="G113" s="34" t="s">
        <v>12</v>
      </c>
      <c r="H113" s="29"/>
    </row>
    <row r="114" spans="2:8">
      <c r="B114" s="35" t="s">
        <v>22</v>
      </c>
      <c r="C114" s="26"/>
      <c r="D114" s="26" t="s">
        <v>23</v>
      </c>
      <c r="E114" s="26"/>
      <c r="F114" s="21" t="s">
        <v>24</v>
      </c>
      <c r="G114" s="28" t="s">
        <v>25</v>
      </c>
      <c r="H114" s="36"/>
    </row>
    <row r="115" ht="15.75" spans="2:8">
      <c r="B115" s="37" t="s">
        <v>26</v>
      </c>
      <c r="C115" s="38"/>
      <c r="D115" s="38" t="s">
        <v>27</v>
      </c>
      <c r="E115" s="38"/>
      <c r="F115" s="38" t="s">
        <v>28</v>
      </c>
      <c r="G115" s="39" t="s">
        <v>29</v>
      </c>
      <c r="H115" s="40"/>
    </row>
    <row r="116" ht="3.75" customHeight="1" spans="2:8">
      <c r="B116" s="41"/>
      <c r="H116" s="42"/>
    </row>
    <row r="117" ht="39" spans="2:8">
      <c r="B117" s="43" t="s">
        <v>30</v>
      </c>
      <c r="C117" s="44" t="s">
        <v>31</v>
      </c>
      <c r="D117" s="45" t="s">
        <v>32</v>
      </c>
      <c r="E117" s="44" t="s">
        <v>33</v>
      </c>
      <c r="F117" s="44" t="s">
        <v>34</v>
      </c>
      <c r="G117" s="44" t="s">
        <v>35</v>
      </c>
      <c r="H117" s="46" t="s">
        <v>36</v>
      </c>
    </row>
    <row r="118" customHeight="1" spans="2:8">
      <c r="B118" s="47">
        <v>1</v>
      </c>
      <c r="C118" s="48" t="s">
        <v>84</v>
      </c>
      <c r="D118" s="49">
        <v>84663020</v>
      </c>
      <c r="E118" s="50" t="s">
        <v>39</v>
      </c>
      <c r="F118" s="51">
        <v>8</v>
      </c>
      <c r="G118" s="52">
        <v>3700</v>
      </c>
      <c r="H118" s="53">
        <f>SUM(F118*G118)</f>
        <v>29600</v>
      </c>
    </row>
    <row r="119" spans="2:8">
      <c r="B119" s="54"/>
      <c r="C119" s="55" t="s">
        <v>85</v>
      </c>
      <c r="D119" s="56"/>
      <c r="E119" s="50"/>
      <c r="F119" s="51"/>
      <c r="G119" s="57"/>
      <c r="H119" s="53"/>
    </row>
    <row r="120" spans="2:8">
      <c r="B120" s="54"/>
      <c r="C120" s="32"/>
      <c r="D120" s="58"/>
      <c r="E120" s="50"/>
      <c r="F120" s="51"/>
      <c r="G120" s="57"/>
      <c r="H120" s="53"/>
    </row>
    <row r="121" spans="2:8">
      <c r="B121" s="54"/>
      <c r="C121" s="60"/>
      <c r="D121" s="61"/>
      <c r="E121" s="50"/>
      <c r="F121" s="51"/>
      <c r="G121" s="57"/>
      <c r="H121" s="53"/>
    </row>
    <row r="122" spans="2:8">
      <c r="B122" s="62"/>
      <c r="C122" s="32"/>
      <c r="D122" s="58"/>
      <c r="E122" s="50"/>
      <c r="F122" s="51"/>
      <c r="G122" s="57"/>
      <c r="H122" s="53"/>
    </row>
    <row r="123" spans="2:8">
      <c r="B123" s="62"/>
      <c r="C123" s="60"/>
      <c r="D123" s="56"/>
      <c r="E123" s="50"/>
      <c r="F123" s="51"/>
      <c r="G123" s="57"/>
      <c r="H123" s="53"/>
    </row>
    <row r="124" spans="2:8">
      <c r="B124" s="62"/>
      <c r="C124" s="32"/>
      <c r="D124" s="63"/>
      <c r="E124" s="50"/>
      <c r="F124" s="51"/>
      <c r="G124" s="57"/>
      <c r="H124" s="53"/>
    </row>
    <row r="125" spans="2:8">
      <c r="B125" s="62"/>
      <c r="C125" s="64"/>
      <c r="D125" s="63"/>
      <c r="E125" s="50"/>
      <c r="F125" s="51"/>
      <c r="G125" s="57"/>
      <c r="H125" s="53"/>
    </row>
    <row r="126" spans="2:8">
      <c r="B126" s="62"/>
      <c r="C126" s="32"/>
      <c r="D126" s="63"/>
      <c r="E126" s="50"/>
      <c r="F126" s="51"/>
      <c r="G126" s="57"/>
      <c r="H126" s="53"/>
    </row>
    <row r="127" spans="2:8">
      <c r="B127" s="62"/>
      <c r="C127" s="65"/>
      <c r="D127" s="27"/>
      <c r="E127" s="27"/>
      <c r="F127" s="66"/>
      <c r="G127" s="57"/>
      <c r="H127" s="53"/>
    </row>
    <row r="128" spans="2:8">
      <c r="B128" s="62"/>
      <c r="C128" s="32"/>
      <c r="D128" s="63"/>
      <c r="E128" s="50"/>
      <c r="F128" s="51"/>
      <c r="G128" s="57"/>
      <c r="H128" s="53"/>
    </row>
    <row r="129" spans="2:8">
      <c r="B129" s="62"/>
      <c r="C129" s="65"/>
      <c r="D129" s="27"/>
      <c r="E129" s="27"/>
      <c r="F129" s="66"/>
      <c r="G129" s="57"/>
      <c r="H129" s="53"/>
    </row>
    <row r="130" spans="2:8">
      <c r="B130" s="62"/>
      <c r="C130" s="67"/>
      <c r="D130" s="63"/>
      <c r="E130" s="50"/>
      <c r="F130" s="51"/>
      <c r="G130" s="68"/>
      <c r="H130" s="69"/>
    </row>
    <row r="131" spans="2:8">
      <c r="B131" s="20"/>
      <c r="C131" s="65"/>
      <c r="D131" s="21"/>
      <c r="E131" s="21"/>
      <c r="F131" s="66"/>
      <c r="G131" s="70"/>
      <c r="H131" s="69"/>
    </row>
    <row r="132" spans="2:8">
      <c r="B132" s="62"/>
      <c r="C132" s="32"/>
      <c r="D132" s="63"/>
      <c r="E132" s="50"/>
      <c r="F132" s="51"/>
      <c r="G132" s="70"/>
      <c r="H132" s="69"/>
    </row>
    <row r="133" spans="2:8">
      <c r="B133" s="20"/>
      <c r="C133" s="65"/>
      <c r="D133" s="21"/>
      <c r="E133" s="21"/>
      <c r="F133" s="66"/>
      <c r="G133" s="70"/>
      <c r="H133" s="69"/>
    </row>
    <row r="134" ht="21" spans="2:8">
      <c r="B134" s="71" t="s">
        <v>42</v>
      </c>
      <c r="C134" s="72"/>
      <c r="D134" s="66" t="s">
        <v>43</v>
      </c>
      <c r="E134" s="73"/>
      <c r="F134" s="27">
        <f>SUM(F118:F133)</f>
        <v>8</v>
      </c>
      <c r="G134" s="21"/>
      <c r="H134" s="74"/>
    </row>
    <row r="135" spans="2:8">
      <c r="B135" s="75"/>
      <c r="C135" s="76"/>
      <c r="D135" s="76"/>
      <c r="E135" s="77"/>
      <c r="F135" s="26" t="s">
        <v>44</v>
      </c>
      <c r="G135" s="26"/>
      <c r="H135" s="78">
        <f>SUM(H118:H134)</f>
        <v>29600</v>
      </c>
    </row>
    <row r="136" spans="2:8">
      <c r="B136" s="79" t="s">
        <v>45</v>
      </c>
      <c r="C136" s="80"/>
      <c r="E136" s="81"/>
      <c r="F136" s="21" t="s">
        <v>46</v>
      </c>
      <c r="G136" s="82">
        <v>0.09</v>
      </c>
      <c r="H136" s="78">
        <f>SUM(H135*G136)</f>
        <v>2664</v>
      </c>
    </row>
    <row r="137" spans="2:8">
      <c r="B137" s="83" t="s">
        <v>47</v>
      </c>
      <c r="C137" s="84"/>
      <c r="E137" s="81"/>
      <c r="F137" s="21" t="s">
        <v>48</v>
      </c>
      <c r="G137" s="82">
        <v>0.09</v>
      </c>
      <c r="H137" s="78">
        <f>SUM(H135*G137)</f>
        <v>2664</v>
      </c>
    </row>
    <row r="138" spans="2:8">
      <c r="B138" s="83" t="s">
        <v>49</v>
      </c>
      <c r="C138" s="84"/>
      <c r="E138" s="81"/>
      <c r="F138" s="21" t="s">
        <v>50</v>
      </c>
      <c r="G138" s="82">
        <v>0.18</v>
      </c>
      <c r="H138" s="85" t="s">
        <v>51</v>
      </c>
    </row>
    <row r="139" spans="2:8">
      <c r="B139" s="83" t="s">
        <v>52</v>
      </c>
      <c r="C139" s="84"/>
      <c r="E139" s="81"/>
      <c r="F139" s="86" t="s">
        <v>53</v>
      </c>
      <c r="G139" s="87"/>
      <c r="H139" s="78">
        <f>SUM(H136:H138)</f>
        <v>5328</v>
      </c>
    </row>
    <row r="140" spans="2:8">
      <c r="B140" s="83" t="s">
        <v>54</v>
      </c>
      <c r="C140" s="84"/>
      <c r="E140" s="81"/>
      <c r="F140" s="88" t="s">
        <v>55</v>
      </c>
      <c r="G140" s="88"/>
      <c r="H140" s="89">
        <f>SUM(H135+H139+H142)</f>
        <v>34928</v>
      </c>
    </row>
    <row r="141" spans="2:8">
      <c r="B141" s="90"/>
      <c r="C141" s="91"/>
      <c r="D141" s="91"/>
      <c r="E141" s="92"/>
      <c r="F141" s="93" t="s">
        <v>56</v>
      </c>
      <c r="G141" s="93"/>
      <c r="H141" s="74"/>
    </row>
    <row r="142" ht="27" customHeight="1" spans="2:8">
      <c r="B142" s="94" t="s">
        <v>86</v>
      </c>
      <c r="C142" s="95"/>
      <c r="D142" s="95"/>
      <c r="E142" s="96"/>
      <c r="F142" s="97" t="s">
        <v>58</v>
      </c>
      <c r="G142" s="98"/>
      <c r="H142" s="99"/>
    </row>
    <row r="143" spans="2:8">
      <c r="B143" s="100" t="s">
        <v>59</v>
      </c>
      <c r="C143" s="101"/>
      <c r="D143" s="101"/>
      <c r="E143" s="102" t="s">
        <v>60</v>
      </c>
      <c r="F143" s="102"/>
      <c r="G143" s="102"/>
      <c r="H143" s="103"/>
    </row>
    <row r="144" ht="18.75" spans="2:8">
      <c r="B144" s="104" t="s">
        <v>61</v>
      </c>
      <c r="E144" s="105" t="s">
        <v>62</v>
      </c>
      <c r="F144" s="105"/>
      <c r="G144" s="105"/>
      <c r="H144" s="106"/>
    </row>
    <row r="145" ht="18.75" spans="2:8">
      <c r="B145" s="108" t="s">
        <v>63</v>
      </c>
      <c r="C145" s="109"/>
      <c r="D145" s="110"/>
      <c r="E145" s="110"/>
      <c r="F145" s="111"/>
      <c r="G145" s="111"/>
      <c r="H145" s="42"/>
    </row>
    <row r="146" spans="2:8">
      <c r="B146" s="112" t="s">
        <v>64</v>
      </c>
      <c r="C146" s="113"/>
      <c r="D146" s="113"/>
      <c r="E146" s="113"/>
      <c r="F146" s="114"/>
      <c r="G146" s="111"/>
      <c r="H146" s="42"/>
    </row>
    <row r="147" spans="2:8">
      <c r="B147" s="112" t="s">
        <v>65</v>
      </c>
      <c r="C147" s="113"/>
      <c r="D147" s="113"/>
      <c r="E147" s="113"/>
      <c r="F147" s="114"/>
      <c r="G147" s="111"/>
      <c r="H147" s="42"/>
    </row>
    <row r="148" spans="2:8">
      <c r="B148" s="41"/>
      <c r="F148" s="111"/>
      <c r="G148" s="111"/>
      <c r="H148" s="42"/>
    </row>
    <row r="149" ht="15.75" spans="2:8">
      <c r="B149" s="115" t="s">
        <v>66</v>
      </c>
      <c r="C149" s="116"/>
      <c r="D149" s="116"/>
      <c r="E149" s="116"/>
      <c r="F149" s="116"/>
      <c r="G149" s="116"/>
      <c r="H149" s="117" t="s">
        <v>67</v>
      </c>
    </row>
  </sheetData>
  <mergeCells count="48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4:C34"/>
    <mergeCell ref="D34:E34"/>
    <mergeCell ref="F39:G39"/>
    <mergeCell ref="B42:E42"/>
    <mergeCell ref="F42:G42"/>
    <mergeCell ref="E43:H43"/>
    <mergeCell ref="E44:H44"/>
    <mergeCell ref="B51:H51"/>
    <mergeCell ref="B52:H52"/>
    <mergeCell ref="B53:H53"/>
    <mergeCell ref="B54:H54"/>
    <mergeCell ref="B55:H55"/>
    <mergeCell ref="B56:H56"/>
    <mergeCell ref="B57:H57"/>
    <mergeCell ref="D58:H58"/>
    <mergeCell ref="G64:H64"/>
    <mergeCell ref="B84:C84"/>
    <mergeCell ref="D84:E84"/>
    <mergeCell ref="F89:G89"/>
    <mergeCell ref="B92:E92"/>
    <mergeCell ref="F92:G92"/>
    <mergeCell ref="E93:H93"/>
    <mergeCell ref="E94:H94"/>
    <mergeCell ref="B101:H101"/>
    <mergeCell ref="B102:H102"/>
    <mergeCell ref="B103:H103"/>
    <mergeCell ref="B104:H104"/>
    <mergeCell ref="B105:H105"/>
    <mergeCell ref="B106:H106"/>
    <mergeCell ref="B107:H107"/>
    <mergeCell ref="D108:H108"/>
    <mergeCell ref="G114:H114"/>
    <mergeCell ref="B134:C134"/>
    <mergeCell ref="D134:E134"/>
    <mergeCell ref="F139:G139"/>
    <mergeCell ref="B142:E142"/>
    <mergeCell ref="F142:G142"/>
    <mergeCell ref="E143:H143"/>
    <mergeCell ref="E144:H144"/>
  </mergeCells>
  <pageMargins left="0.17" right="0.17" top="0.17" bottom="0.17" header="10.9" footer="0.79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149"/>
  <sheetViews>
    <sheetView topLeftCell="A5" workbookViewId="0">
      <selection activeCell="B98" sqref="B98:H144"/>
    </sheetView>
  </sheetViews>
  <sheetFormatPr defaultColWidth="9" defaultRowHeight="15"/>
  <cols>
    <col min="1" max="1" width="0.552380952380952" customWidth="1"/>
    <col min="2" max="2" width="3.66666666666667" customWidth="1"/>
    <col min="3" max="3" width="38.8857142857143" customWidth="1"/>
    <col min="4" max="4" width="9.55238095238095" customWidth="1"/>
    <col min="5" max="5" width="7.88571428571429" customWidth="1"/>
    <col min="6" max="6" width="15.8857142857143" customWidth="1"/>
    <col min="7" max="7" width="11.8857142857143" customWidth="1"/>
    <col min="8" max="8" width="11.6666666666667" customWidth="1"/>
    <col min="9" max="9" width="0.666666666666667" customWidth="1"/>
  </cols>
  <sheetData>
    <row r="1" ht="15.75" spans="2:8">
      <c r="B1" s="1" t="s">
        <v>0</v>
      </c>
      <c r="C1" s="1"/>
      <c r="D1" s="1"/>
      <c r="E1" s="1"/>
      <c r="F1" s="1"/>
      <c r="G1" s="1"/>
      <c r="H1" s="1"/>
    </row>
    <row r="2" ht="21" spans="2:8">
      <c r="B2" s="2" t="s">
        <v>1</v>
      </c>
      <c r="C2" s="3"/>
      <c r="D2" s="3"/>
      <c r="E2" s="3"/>
      <c r="F2" s="3"/>
      <c r="G2" s="3"/>
      <c r="H2" s="4"/>
    </row>
    <row r="3" ht="28.5" spans="2:8">
      <c r="B3" s="5" t="s">
        <v>2</v>
      </c>
      <c r="C3" s="6"/>
      <c r="D3" s="6"/>
      <c r="E3" s="6"/>
      <c r="F3" s="6"/>
      <c r="G3" s="6"/>
      <c r="H3" s="7"/>
    </row>
    <row r="4" spans="2:8">
      <c r="B4" s="8" t="s">
        <v>3</v>
      </c>
      <c r="C4" s="9"/>
      <c r="D4" s="9"/>
      <c r="E4" s="9"/>
      <c r="F4" s="9"/>
      <c r="G4" s="9"/>
      <c r="H4" s="10"/>
    </row>
    <row r="5" ht="21.75" spans="2:8">
      <c r="B5" s="11" t="s">
        <v>4</v>
      </c>
      <c r="C5" s="12"/>
      <c r="D5" s="12"/>
      <c r="E5" s="12"/>
      <c r="F5" s="12"/>
      <c r="G5" s="12"/>
      <c r="H5" s="13"/>
    </row>
    <row r="6" spans="2:8">
      <c r="B6" s="14" t="s">
        <v>5</v>
      </c>
      <c r="C6" s="15"/>
      <c r="D6" s="15"/>
      <c r="E6" s="15"/>
      <c r="F6" s="15"/>
      <c r="G6" s="15"/>
      <c r="H6" s="16"/>
    </row>
    <row r="7" spans="2:8">
      <c r="B7" s="17" t="s">
        <v>6</v>
      </c>
      <c r="C7" s="18"/>
      <c r="D7" s="18"/>
      <c r="E7" s="18"/>
      <c r="F7" s="18"/>
      <c r="G7" s="18"/>
      <c r="H7" s="19"/>
    </row>
    <row r="8" ht="15.75" customHeight="1" spans="2:8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8">
      <c r="B9" s="25" t="s">
        <v>9</v>
      </c>
      <c r="C9" s="21"/>
      <c r="D9" s="26" t="s">
        <v>10</v>
      </c>
      <c r="E9" s="26"/>
      <c r="F9" s="27" t="s">
        <v>87</v>
      </c>
      <c r="G9" s="28" t="s">
        <v>12</v>
      </c>
      <c r="H9" s="29">
        <v>46288</v>
      </c>
    </row>
    <row r="10" spans="2:8">
      <c r="B10" s="20" t="s">
        <v>13</v>
      </c>
      <c r="C10" s="21"/>
      <c r="D10" s="26" t="s">
        <v>14</v>
      </c>
      <c r="E10" s="26"/>
      <c r="F10" s="27" t="s">
        <v>87</v>
      </c>
      <c r="G10" s="28" t="s">
        <v>12</v>
      </c>
      <c r="H10" s="29">
        <v>46288</v>
      </c>
    </row>
    <row r="11" spans="2:8">
      <c r="B11" s="20" t="s">
        <v>15</v>
      </c>
      <c r="C11" s="21"/>
      <c r="D11" s="26" t="s">
        <v>16</v>
      </c>
      <c r="E11" s="26"/>
      <c r="F11" s="30"/>
      <c r="G11" s="31" t="s">
        <v>12</v>
      </c>
      <c r="H11" s="29"/>
    </row>
    <row r="12" spans="2:8">
      <c r="B12" s="20" t="s">
        <v>17</v>
      </c>
      <c r="C12" s="21"/>
      <c r="D12" s="26" t="s">
        <v>18</v>
      </c>
      <c r="E12" s="26"/>
      <c r="F12" s="32" t="s">
        <v>88</v>
      </c>
      <c r="G12" s="31" t="s">
        <v>12</v>
      </c>
      <c r="H12" s="29">
        <v>46287</v>
      </c>
    </row>
    <row r="13" spans="2:8">
      <c r="B13" s="20" t="s">
        <v>20</v>
      </c>
      <c r="C13" s="21"/>
      <c r="D13" s="26" t="s">
        <v>21</v>
      </c>
      <c r="E13" s="26"/>
      <c r="F13" s="33" t="s">
        <v>89</v>
      </c>
      <c r="G13" s="34" t="s">
        <v>12</v>
      </c>
      <c r="H13" s="29">
        <v>46288</v>
      </c>
    </row>
    <row r="14" spans="2:8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8">
      <c r="B15" s="37" t="s">
        <v>26</v>
      </c>
      <c r="C15" s="38"/>
      <c r="D15" s="38" t="s">
        <v>27</v>
      </c>
      <c r="E15" s="38"/>
      <c r="F15" s="38" t="s">
        <v>28</v>
      </c>
      <c r="G15" s="39" t="s">
        <v>29</v>
      </c>
      <c r="H15" s="40"/>
    </row>
    <row r="16" ht="3.75" customHeight="1" spans="2:8">
      <c r="B16" s="41"/>
      <c r="H16" s="42"/>
    </row>
    <row r="17" ht="39" spans="2:13">
      <c r="B17" s="43" t="s">
        <v>30</v>
      </c>
      <c r="C17" s="44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M17" t="s">
        <v>37</v>
      </c>
    </row>
    <row r="18" customHeight="1" spans="2:13">
      <c r="B18" s="47">
        <v>1</v>
      </c>
      <c r="C18" s="48" t="s">
        <v>90</v>
      </c>
      <c r="D18" s="49">
        <v>82072000</v>
      </c>
      <c r="E18" s="50" t="s">
        <v>39</v>
      </c>
      <c r="F18" s="51">
        <v>1</v>
      </c>
      <c r="G18" s="52">
        <v>82350</v>
      </c>
      <c r="H18" s="53">
        <f>SUM(F18*G18)</f>
        <v>82350</v>
      </c>
    </row>
    <row r="19" spans="2:13">
      <c r="B19" s="54"/>
      <c r="C19" s="55" t="s">
        <v>91</v>
      </c>
      <c r="D19" s="56"/>
      <c r="E19" s="50"/>
      <c r="F19" s="51"/>
      <c r="G19" s="57"/>
      <c r="H19" s="53"/>
    </row>
    <row r="20" customHeight="1" spans="2:13">
      <c r="B20" s="47">
        <v>2</v>
      </c>
      <c r="C20" s="133" t="s">
        <v>90</v>
      </c>
      <c r="D20" s="49">
        <v>82072000</v>
      </c>
      <c r="E20" s="50" t="s">
        <v>39</v>
      </c>
      <c r="F20" s="51">
        <v>2</v>
      </c>
      <c r="G20" s="57">
        <v>36200</v>
      </c>
      <c r="H20" s="53">
        <f>SUM(F20*G20)</f>
        <v>72400</v>
      </c>
      <c r="L20" s="59"/>
    </row>
    <row r="21" customHeight="1" spans="2:13">
      <c r="B21" s="54"/>
      <c r="C21" s="55" t="s">
        <v>92</v>
      </c>
      <c r="D21" s="56"/>
      <c r="E21" s="50"/>
      <c r="F21" s="51"/>
      <c r="G21" s="57"/>
      <c r="H21" s="53"/>
      <c r="L21" s="59"/>
    </row>
    <row r="22" spans="2:13">
      <c r="B22" s="62">
        <v>3</v>
      </c>
      <c r="C22" s="32" t="s">
        <v>93</v>
      </c>
      <c r="D22" s="49">
        <v>82072000</v>
      </c>
      <c r="E22" s="50" t="s">
        <v>39</v>
      </c>
      <c r="F22" s="51">
        <v>1</v>
      </c>
      <c r="G22" s="57">
        <v>35450</v>
      </c>
      <c r="H22" s="53">
        <f>SUM(F22*G22)</f>
        <v>35450</v>
      </c>
    </row>
    <row r="23" customHeight="1" spans="2:13">
      <c r="B23" s="62"/>
      <c r="C23" s="60" t="s">
        <v>94</v>
      </c>
      <c r="D23" s="56"/>
      <c r="E23" s="50"/>
      <c r="F23" s="51"/>
      <c r="G23" s="57"/>
      <c r="H23" s="53"/>
    </row>
    <row r="24" spans="2:13">
      <c r="B24" s="62">
        <v>4</v>
      </c>
      <c r="C24" s="32" t="s">
        <v>93</v>
      </c>
      <c r="D24" s="61">
        <v>82072000</v>
      </c>
      <c r="E24" s="50" t="s">
        <v>39</v>
      </c>
      <c r="F24" s="51">
        <v>1</v>
      </c>
      <c r="G24" s="57">
        <v>78900</v>
      </c>
      <c r="H24" s="53">
        <f>SUM(F24*G24)</f>
        <v>78900</v>
      </c>
    </row>
    <row r="25" spans="2:13">
      <c r="B25" s="62"/>
      <c r="C25" s="64" t="s">
        <v>95</v>
      </c>
      <c r="D25" s="63"/>
      <c r="E25" s="50"/>
      <c r="F25" s="51"/>
      <c r="G25" s="57"/>
      <c r="H25" s="53"/>
    </row>
    <row r="26" spans="2:13">
      <c r="B26" s="62">
        <v>5</v>
      </c>
      <c r="C26" s="32" t="s">
        <v>96</v>
      </c>
      <c r="D26" s="63">
        <v>82073000</v>
      </c>
      <c r="E26" s="50" t="s">
        <v>39</v>
      </c>
      <c r="F26" s="51">
        <v>1</v>
      </c>
      <c r="G26" s="57">
        <v>12500</v>
      </c>
      <c r="H26" s="53">
        <f>SUM(F26*G26)</f>
        <v>12500</v>
      </c>
    </row>
    <row r="27" spans="2:13">
      <c r="B27" s="62"/>
      <c r="C27" s="65" t="s">
        <v>97</v>
      </c>
      <c r="D27" s="27"/>
      <c r="E27" s="27"/>
      <c r="F27" s="66"/>
      <c r="G27" s="57"/>
      <c r="H27" s="53"/>
    </row>
    <row r="28" spans="2:13">
      <c r="B28" s="62">
        <v>6</v>
      </c>
      <c r="C28" s="32" t="s">
        <v>98</v>
      </c>
      <c r="D28" s="153">
        <v>82073000</v>
      </c>
      <c r="E28" s="50" t="s">
        <v>39</v>
      </c>
      <c r="F28" s="51">
        <v>1</v>
      </c>
      <c r="G28" s="57">
        <v>42000</v>
      </c>
      <c r="H28" s="53">
        <f>SUM(F28*G28)</f>
        <v>42000</v>
      </c>
    </row>
    <row r="29" spans="2:13">
      <c r="B29" s="62"/>
      <c r="C29" s="65" t="s">
        <v>99</v>
      </c>
      <c r="D29" s="27"/>
      <c r="E29" s="27"/>
      <c r="F29" s="66"/>
      <c r="G29" s="57"/>
      <c r="H29" s="53"/>
    </row>
    <row r="30" customHeight="1" spans="2:13">
      <c r="B30" s="62">
        <v>7</v>
      </c>
      <c r="C30" s="67" t="s">
        <v>100</v>
      </c>
      <c r="D30" s="153">
        <v>82073000</v>
      </c>
      <c r="E30" s="50" t="s">
        <v>39</v>
      </c>
      <c r="F30" s="51">
        <v>1</v>
      </c>
      <c r="G30" s="68">
        <v>15375</v>
      </c>
      <c r="H30" s="53">
        <f>SUM(F30*G30)</f>
        <v>15375</v>
      </c>
    </row>
    <row r="31" customHeight="1" spans="2:13">
      <c r="B31" s="20"/>
      <c r="C31" s="65" t="s">
        <v>101</v>
      </c>
      <c r="D31" s="21"/>
      <c r="E31" s="21"/>
      <c r="F31" s="66"/>
      <c r="G31" s="70"/>
      <c r="H31" s="69"/>
    </row>
    <row r="32" customHeight="1" spans="2:13">
      <c r="B32" s="62"/>
      <c r="C32" s="32"/>
      <c r="D32" s="63"/>
      <c r="E32" s="50"/>
      <c r="F32" s="51"/>
      <c r="G32" s="70"/>
      <c r="H32" s="69"/>
    </row>
    <row r="33" customHeight="1" spans="2:9">
      <c r="B33" s="20"/>
      <c r="C33" s="65"/>
      <c r="D33" s="21"/>
      <c r="E33" s="21"/>
      <c r="F33" s="66"/>
      <c r="G33" s="70"/>
      <c r="H33" s="69"/>
    </row>
    <row r="34" customHeight="1" spans="2:9">
      <c r="B34" s="71" t="s">
        <v>42</v>
      </c>
      <c r="C34" s="72"/>
      <c r="D34" s="66" t="s">
        <v>43</v>
      </c>
      <c r="E34" s="73"/>
      <c r="F34" s="27">
        <f>SUM(F18:F33)</f>
        <v>8</v>
      </c>
      <c r="G34" s="21"/>
      <c r="H34" s="74"/>
    </row>
    <row r="35" spans="2:9">
      <c r="B35" s="75"/>
      <c r="C35" s="76"/>
      <c r="D35" s="76"/>
      <c r="E35" s="77"/>
      <c r="F35" s="26" t="s">
        <v>44</v>
      </c>
      <c r="G35" s="26"/>
      <c r="H35" s="78">
        <f>SUM(H18:H34)</f>
        <v>338975</v>
      </c>
    </row>
    <row r="36" spans="2:9">
      <c r="B36" s="79" t="s">
        <v>45</v>
      </c>
      <c r="C36" s="80"/>
      <c r="E36" s="81"/>
      <c r="F36" s="21" t="s">
        <v>46</v>
      </c>
      <c r="G36" s="82">
        <v>0.09</v>
      </c>
      <c r="H36" s="78">
        <f>SUM(H35*G36)</f>
        <v>30507.75</v>
      </c>
    </row>
    <row r="37" spans="2:9">
      <c r="B37" s="83" t="s">
        <v>47</v>
      </c>
      <c r="C37" s="84"/>
      <c r="E37" s="81"/>
      <c r="F37" s="21" t="s">
        <v>48</v>
      </c>
      <c r="G37" s="82">
        <v>0.09</v>
      </c>
      <c r="H37" s="78">
        <f>SUM(H35*G37)</f>
        <v>30507.75</v>
      </c>
    </row>
    <row r="38" spans="2:9">
      <c r="B38" s="83" t="s">
        <v>49</v>
      </c>
      <c r="C38" s="84"/>
      <c r="E38" s="81"/>
      <c r="F38" s="21" t="s">
        <v>50</v>
      </c>
      <c r="G38" s="82">
        <v>0.18</v>
      </c>
      <c r="H38" s="85" t="s">
        <v>51</v>
      </c>
    </row>
    <row r="39" spans="2:9">
      <c r="B39" s="83" t="s">
        <v>52</v>
      </c>
      <c r="C39" s="84"/>
      <c r="E39" s="81"/>
      <c r="F39" s="86" t="s">
        <v>53</v>
      </c>
      <c r="G39" s="87"/>
      <c r="H39" s="78">
        <f>SUM(H36:H38)</f>
        <v>61015.5</v>
      </c>
    </row>
    <row r="40" spans="2:9">
      <c r="B40" s="83" t="s">
        <v>54</v>
      </c>
      <c r="C40" s="84"/>
      <c r="E40" s="81"/>
      <c r="F40" s="88" t="s">
        <v>55</v>
      </c>
      <c r="G40" s="88"/>
      <c r="H40" s="89">
        <f>SUM(H35+H39+H42)</f>
        <v>399991</v>
      </c>
    </row>
    <row r="41" spans="2:9">
      <c r="B41" s="90"/>
      <c r="C41" s="91"/>
      <c r="D41" s="91"/>
      <c r="E41" s="92"/>
      <c r="F41" s="93" t="s">
        <v>56</v>
      </c>
      <c r="G41" s="93"/>
      <c r="H41" s="74"/>
    </row>
    <row r="42" ht="29.4" customHeight="1" spans="2:9">
      <c r="B42" s="94" t="s">
        <v>102</v>
      </c>
      <c r="C42" s="95"/>
      <c r="D42" s="95"/>
      <c r="E42" s="96"/>
      <c r="F42" s="97" t="s">
        <v>58</v>
      </c>
      <c r="G42" s="98"/>
      <c r="H42" s="99">
        <v>0.5</v>
      </c>
    </row>
    <row r="43" ht="27.6" customHeight="1" spans="2:9">
      <c r="B43" s="100" t="s">
        <v>59</v>
      </c>
      <c r="C43" s="101"/>
      <c r="D43" s="101"/>
      <c r="E43" s="102" t="s">
        <v>60</v>
      </c>
      <c r="F43" s="102"/>
      <c r="G43" s="102"/>
      <c r="H43" s="103"/>
    </row>
    <row r="44" ht="18.75" spans="2:9">
      <c r="B44" s="104" t="s">
        <v>61</v>
      </c>
      <c r="E44" s="105" t="s">
        <v>62</v>
      </c>
      <c r="F44" s="105"/>
      <c r="G44" s="105"/>
      <c r="H44" s="106"/>
      <c r="I44" s="107"/>
    </row>
    <row r="45" ht="18.75" spans="2:9">
      <c r="B45" s="108" t="s">
        <v>63</v>
      </c>
      <c r="C45" s="109"/>
      <c r="D45" s="110"/>
      <c r="E45" s="110"/>
      <c r="F45" s="111"/>
      <c r="G45" s="111"/>
      <c r="H45" s="42"/>
    </row>
    <row r="46" spans="2:9">
      <c r="B46" s="112" t="s">
        <v>64</v>
      </c>
      <c r="C46" s="113"/>
      <c r="D46" s="113"/>
      <c r="E46" s="113"/>
      <c r="F46" s="114"/>
      <c r="G46" s="111"/>
      <c r="H46" s="42"/>
    </row>
    <row r="47" spans="2:9">
      <c r="B47" s="112" t="s">
        <v>65</v>
      </c>
      <c r="C47" s="113"/>
      <c r="D47" s="113"/>
      <c r="E47" s="113"/>
      <c r="F47" s="114"/>
      <c r="G47" s="111"/>
      <c r="H47" s="42"/>
    </row>
    <row r="48" spans="2:9">
      <c r="B48" s="41"/>
      <c r="F48" s="111"/>
      <c r="G48" s="111"/>
      <c r="H48" s="42"/>
    </row>
    <row r="49" ht="15.75" spans="2:24">
      <c r="B49" s="115" t="s">
        <v>66</v>
      </c>
      <c r="C49" s="116"/>
      <c r="D49" s="116"/>
      <c r="E49" s="116"/>
      <c r="F49" s="116"/>
      <c r="G49" s="116"/>
      <c r="H49" s="117" t="s">
        <v>67</v>
      </c>
    </row>
    <row r="50" spans="2:24">
      <c r="H50" s="118"/>
    </row>
    <row r="51" ht="15.75" customHeight="1" spans="2:24">
      <c r="B51" s="1" t="s">
        <v>68</v>
      </c>
      <c r="C51" s="1"/>
      <c r="D51" s="1"/>
      <c r="E51" s="1"/>
      <c r="F51" s="1"/>
      <c r="G51" s="1"/>
      <c r="H51" s="1"/>
    </row>
    <row r="52" ht="21" spans="2:24">
      <c r="B52" s="2" t="s">
        <v>1</v>
      </c>
      <c r="C52" s="3"/>
      <c r="D52" s="3"/>
      <c r="E52" s="3"/>
      <c r="F52" s="3"/>
      <c r="G52" s="3"/>
      <c r="H52" s="4"/>
    </row>
    <row r="53" ht="28.5" spans="2:24">
      <c r="B53" s="5" t="s">
        <v>2</v>
      </c>
      <c r="C53" s="6"/>
      <c r="D53" s="6"/>
      <c r="E53" s="6"/>
      <c r="F53" s="6"/>
      <c r="G53" s="6"/>
      <c r="H53" s="7"/>
    </row>
    <row r="54" spans="2:24">
      <c r="B54" s="8" t="s">
        <v>3</v>
      </c>
      <c r="C54" s="9"/>
      <c r="D54" s="9"/>
      <c r="E54" s="9"/>
      <c r="F54" s="9"/>
      <c r="G54" s="9"/>
      <c r="H54" s="10"/>
    </row>
    <row r="55" ht="21.75" spans="2:24">
      <c r="B55" s="11" t="s">
        <v>4</v>
      </c>
      <c r="C55" s="12"/>
      <c r="D55" s="12"/>
      <c r="E55" s="12"/>
      <c r="F55" s="12"/>
      <c r="G55" s="12"/>
      <c r="H55" s="13"/>
    </row>
    <row r="56" spans="2:24">
      <c r="B56" s="14" t="s">
        <v>5</v>
      </c>
      <c r="C56" s="15"/>
      <c r="D56" s="15"/>
      <c r="E56" s="15"/>
      <c r="F56" s="15"/>
      <c r="G56" s="15"/>
      <c r="H56" s="16"/>
    </row>
    <row r="57" spans="2:24">
      <c r="B57" s="17" t="s">
        <v>6</v>
      </c>
      <c r="C57" s="18"/>
      <c r="D57" s="18"/>
      <c r="E57" s="18"/>
      <c r="F57" s="18"/>
      <c r="G57" s="18"/>
      <c r="H57" s="19"/>
      <c r="X57" s="119"/>
    </row>
    <row r="58" ht="15.75" customHeight="1" spans="2:24">
      <c r="B58" s="20" t="s">
        <v>7</v>
      </c>
      <c r="C58" s="21"/>
      <c r="D58" s="22" t="s">
        <v>8</v>
      </c>
      <c r="E58" s="23"/>
      <c r="F58" s="23"/>
      <c r="G58" s="23"/>
      <c r="H58" s="24"/>
    </row>
    <row r="59" ht="21" spans="2:24">
      <c r="B59" s="25" t="s">
        <v>9</v>
      </c>
      <c r="C59" s="21"/>
      <c r="D59" s="26" t="s">
        <v>10</v>
      </c>
      <c r="E59" s="26"/>
      <c r="F59" s="27" t="s">
        <v>87</v>
      </c>
      <c r="G59" s="28" t="s">
        <v>12</v>
      </c>
      <c r="H59" s="29">
        <v>46288</v>
      </c>
    </row>
    <row r="60" spans="2:24">
      <c r="B60" s="20" t="s">
        <v>13</v>
      </c>
      <c r="C60" s="21"/>
      <c r="D60" s="26" t="s">
        <v>14</v>
      </c>
      <c r="E60" s="26"/>
      <c r="F60" s="27" t="s">
        <v>87</v>
      </c>
      <c r="G60" s="28" t="s">
        <v>12</v>
      </c>
      <c r="H60" s="29">
        <v>46288</v>
      </c>
    </row>
    <row r="61" spans="2:24">
      <c r="B61" s="20" t="s">
        <v>15</v>
      </c>
      <c r="C61" s="21"/>
      <c r="D61" s="26" t="s">
        <v>16</v>
      </c>
      <c r="E61" s="26"/>
      <c r="F61" s="30"/>
      <c r="G61" s="31" t="s">
        <v>12</v>
      </c>
      <c r="H61" s="29"/>
    </row>
    <row r="62" spans="2:24">
      <c r="B62" s="20" t="s">
        <v>17</v>
      </c>
      <c r="C62" s="21"/>
      <c r="D62" s="26" t="s">
        <v>18</v>
      </c>
      <c r="E62" s="26"/>
      <c r="F62" s="32" t="s">
        <v>88</v>
      </c>
      <c r="G62" s="31" t="s">
        <v>12</v>
      </c>
      <c r="H62" s="29">
        <v>46287</v>
      </c>
    </row>
    <row r="63" spans="2:24">
      <c r="B63" s="20" t="s">
        <v>20</v>
      </c>
      <c r="C63" s="21"/>
      <c r="D63" s="26" t="s">
        <v>21</v>
      </c>
      <c r="E63" s="26"/>
      <c r="F63" s="33" t="s">
        <v>89</v>
      </c>
      <c r="G63" s="34" t="s">
        <v>12</v>
      </c>
      <c r="H63" s="29">
        <v>46288</v>
      </c>
    </row>
    <row r="64" spans="2:24">
      <c r="B64" s="35" t="s">
        <v>22</v>
      </c>
      <c r="C64" s="26"/>
      <c r="D64" s="26" t="s">
        <v>23</v>
      </c>
      <c r="E64" s="26"/>
      <c r="F64" s="21" t="s">
        <v>24</v>
      </c>
      <c r="G64" s="28" t="s">
        <v>25</v>
      </c>
      <c r="H64" s="36"/>
    </row>
    <row r="65" ht="15.75" spans="2:8">
      <c r="B65" s="37" t="s">
        <v>26</v>
      </c>
      <c r="C65" s="38"/>
      <c r="D65" s="38" t="s">
        <v>27</v>
      </c>
      <c r="E65" s="38"/>
      <c r="F65" s="38" t="s">
        <v>28</v>
      </c>
      <c r="G65" s="39" t="s">
        <v>29</v>
      </c>
      <c r="H65" s="40"/>
    </row>
    <row r="66" ht="4.5" customHeight="1" spans="2:8">
      <c r="B66" s="41"/>
      <c r="H66" s="42"/>
    </row>
    <row r="67" ht="39" spans="2:8">
      <c r="B67" s="43" t="s">
        <v>30</v>
      </c>
      <c r="C67" s="44" t="s">
        <v>31</v>
      </c>
      <c r="D67" s="45" t="s">
        <v>32</v>
      </c>
      <c r="E67" s="44" t="s">
        <v>33</v>
      </c>
      <c r="F67" s="44" t="s">
        <v>34</v>
      </c>
      <c r="G67" s="44" t="s">
        <v>35</v>
      </c>
      <c r="H67" s="46" t="s">
        <v>36</v>
      </c>
    </row>
    <row r="68" customHeight="1" spans="2:8">
      <c r="B68" s="47">
        <v>1</v>
      </c>
      <c r="C68" s="48" t="s">
        <v>90</v>
      </c>
      <c r="D68" s="49">
        <v>82072000</v>
      </c>
      <c r="E68" s="50" t="s">
        <v>39</v>
      </c>
      <c r="F68" s="51">
        <v>1</v>
      </c>
      <c r="G68" s="52">
        <v>82350</v>
      </c>
      <c r="H68" s="53">
        <f>SUM(F68*G68)</f>
        <v>82350</v>
      </c>
    </row>
    <row r="69" spans="2:8">
      <c r="B69" s="54"/>
      <c r="C69" s="55" t="s">
        <v>91</v>
      </c>
      <c r="D69" s="56"/>
      <c r="E69" s="50"/>
      <c r="F69" s="51"/>
      <c r="G69" s="57"/>
      <c r="H69" s="53"/>
    </row>
    <row r="70" customHeight="1" spans="2:8">
      <c r="B70" s="47">
        <v>2</v>
      </c>
      <c r="C70" s="133" t="s">
        <v>90</v>
      </c>
      <c r="D70" s="49">
        <v>82072000</v>
      </c>
      <c r="E70" s="50" t="s">
        <v>39</v>
      </c>
      <c r="F70" s="51">
        <v>2</v>
      </c>
      <c r="G70" s="57">
        <v>36200</v>
      </c>
      <c r="H70" s="53">
        <f>SUM(F70*G70)</f>
        <v>72400</v>
      </c>
    </row>
    <row r="71" spans="2:8">
      <c r="B71" s="54"/>
      <c r="C71" s="55" t="s">
        <v>92</v>
      </c>
      <c r="D71" s="56"/>
      <c r="E71" s="50"/>
      <c r="F71" s="51"/>
      <c r="G71" s="57"/>
      <c r="H71" s="53"/>
    </row>
    <row r="72" customHeight="1" spans="2:8">
      <c r="B72" s="62">
        <v>3</v>
      </c>
      <c r="C72" s="32" t="s">
        <v>93</v>
      </c>
      <c r="D72" s="49">
        <v>82072000</v>
      </c>
      <c r="E72" s="50" t="s">
        <v>39</v>
      </c>
      <c r="F72" s="51">
        <v>1</v>
      </c>
      <c r="G72" s="57">
        <v>35450</v>
      </c>
      <c r="H72" s="53">
        <f>SUM(F72*G72)</f>
        <v>35450</v>
      </c>
    </row>
    <row r="73" spans="2:8">
      <c r="B73" s="62"/>
      <c r="C73" s="60" t="s">
        <v>94</v>
      </c>
      <c r="D73" s="56"/>
      <c r="E73" s="50"/>
      <c r="F73" s="51"/>
      <c r="G73" s="57"/>
      <c r="H73" s="53"/>
    </row>
    <row r="74" spans="2:8">
      <c r="B74" s="62">
        <v>4</v>
      </c>
      <c r="C74" s="32" t="s">
        <v>93</v>
      </c>
      <c r="D74" s="61">
        <v>82072000</v>
      </c>
      <c r="E74" s="50" t="s">
        <v>39</v>
      </c>
      <c r="F74" s="51">
        <v>1</v>
      </c>
      <c r="G74" s="57">
        <v>78900</v>
      </c>
      <c r="H74" s="53">
        <f>SUM(F74*G74)</f>
        <v>78900</v>
      </c>
    </row>
    <row r="75" spans="2:8">
      <c r="B75" s="62"/>
      <c r="C75" s="64" t="s">
        <v>95</v>
      </c>
      <c r="D75" s="63"/>
      <c r="E75" s="50"/>
      <c r="F75" s="51"/>
      <c r="G75" s="57"/>
      <c r="H75" s="53"/>
    </row>
    <row r="76" spans="2:8">
      <c r="B76" s="62">
        <v>5</v>
      </c>
      <c r="C76" s="32" t="s">
        <v>96</v>
      </c>
      <c r="D76" s="63">
        <v>82073000</v>
      </c>
      <c r="E76" s="50" t="s">
        <v>39</v>
      </c>
      <c r="F76" s="51">
        <v>1</v>
      </c>
      <c r="G76" s="57">
        <v>12500</v>
      </c>
      <c r="H76" s="53">
        <f>SUM(F76*G76)</f>
        <v>12500</v>
      </c>
    </row>
    <row r="77" spans="2:8">
      <c r="B77" s="62"/>
      <c r="C77" s="65" t="s">
        <v>97</v>
      </c>
      <c r="D77" s="27"/>
      <c r="E77" s="27"/>
      <c r="F77" s="66"/>
      <c r="G77" s="57"/>
      <c r="H77" s="53"/>
    </row>
    <row r="78" spans="2:8">
      <c r="B78" s="62">
        <v>6</v>
      </c>
      <c r="C78" s="32" t="s">
        <v>98</v>
      </c>
      <c r="D78" s="153">
        <v>82073000</v>
      </c>
      <c r="E78" s="50" t="s">
        <v>39</v>
      </c>
      <c r="F78" s="51">
        <v>1</v>
      </c>
      <c r="G78" s="57">
        <v>42000</v>
      </c>
      <c r="H78" s="53">
        <f>SUM(F78*G78)</f>
        <v>42000</v>
      </c>
    </row>
    <row r="79" spans="2:8">
      <c r="B79" s="62"/>
      <c r="C79" s="65" t="s">
        <v>99</v>
      </c>
      <c r="D79" s="27"/>
      <c r="E79" s="27"/>
      <c r="F79" s="66"/>
      <c r="G79" s="57"/>
      <c r="H79" s="53"/>
    </row>
    <row r="80" ht="21" spans="2:8">
      <c r="B80" s="62">
        <v>7</v>
      </c>
      <c r="C80" s="67" t="s">
        <v>100</v>
      </c>
      <c r="D80" s="153">
        <v>82073000</v>
      </c>
      <c r="E80" s="50" t="s">
        <v>39</v>
      </c>
      <c r="F80" s="51">
        <v>1</v>
      </c>
      <c r="G80" s="68">
        <v>15375</v>
      </c>
      <c r="H80" s="53">
        <f>SUM(F80*G80)</f>
        <v>15375</v>
      </c>
    </row>
    <row r="81" spans="2:9">
      <c r="B81" s="20"/>
      <c r="C81" s="65" t="s">
        <v>101</v>
      </c>
      <c r="D81" s="21"/>
      <c r="E81" s="21"/>
      <c r="F81" s="66"/>
      <c r="G81" s="70"/>
      <c r="H81" s="69"/>
    </row>
    <row r="82" spans="2:9">
      <c r="B82" s="62"/>
      <c r="C82" s="32"/>
      <c r="D82" s="63"/>
      <c r="E82" s="50"/>
      <c r="F82" s="51"/>
      <c r="G82" s="70"/>
      <c r="H82" s="69"/>
    </row>
    <row r="83" spans="2:9">
      <c r="B83" s="20"/>
      <c r="C83" s="65"/>
      <c r="D83" s="21"/>
      <c r="E83" s="21"/>
      <c r="F83" s="66"/>
      <c r="G83" s="70"/>
      <c r="H83" s="69"/>
    </row>
    <row r="84" ht="21" spans="2:9">
      <c r="B84" s="71" t="s">
        <v>42</v>
      </c>
      <c r="C84" s="72"/>
      <c r="D84" s="66" t="s">
        <v>43</v>
      </c>
      <c r="E84" s="73"/>
      <c r="F84" s="27">
        <f>SUM(F68:F83)</f>
        <v>8</v>
      </c>
      <c r="G84" s="21"/>
      <c r="H84" s="74"/>
    </row>
    <row r="85" spans="2:9">
      <c r="B85" s="75"/>
      <c r="C85" s="76"/>
      <c r="D85" s="76"/>
      <c r="E85" s="77"/>
      <c r="F85" s="26" t="s">
        <v>44</v>
      </c>
      <c r="G85" s="26"/>
      <c r="H85" s="78">
        <f>SUM(H68:H84)</f>
        <v>338975</v>
      </c>
    </row>
    <row r="86" spans="2:9">
      <c r="B86" s="79" t="s">
        <v>45</v>
      </c>
      <c r="C86" s="80"/>
      <c r="E86" s="81"/>
      <c r="F86" s="21" t="s">
        <v>46</v>
      </c>
      <c r="G86" s="82">
        <v>0.09</v>
      </c>
      <c r="H86" s="78">
        <f>SUM(H85*G86)</f>
        <v>30507.75</v>
      </c>
    </row>
    <row r="87" spans="2:9">
      <c r="B87" s="83" t="s">
        <v>47</v>
      </c>
      <c r="C87" s="84"/>
      <c r="E87" s="81"/>
      <c r="F87" s="21" t="s">
        <v>48</v>
      </c>
      <c r="G87" s="82">
        <v>0.09</v>
      </c>
      <c r="H87" s="78">
        <f>SUM(H85*G87)</f>
        <v>30507.75</v>
      </c>
    </row>
    <row r="88" spans="2:9">
      <c r="B88" s="83" t="s">
        <v>49</v>
      </c>
      <c r="C88" s="84"/>
      <c r="E88" s="81"/>
      <c r="F88" s="21" t="s">
        <v>50</v>
      </c>
      <c r="G88" s="82">
        <v>0.18</v>
      </c>
      <c r="H88" s="85" t="s">
        <v>51</v>
      </c>
    </row>
    <row r="89" spans="2:9">
      <c r="B89" s="83" t="s">
        <v>52</v>
      </c>
      <c r="C89" s="84"/>
      <c r="E89" s="81"/>
      <c r="F89" s="86" t="s">
        <v>53</v>
      </c>
      <c r="G89" s="87"/>
      <c r="H89" s="78">
        <f>SUM(H86:H88)</f>
        <v>61015.5</v>
      </c>
    </row>
    <row r="90" customHeight="1" spans="2:9">
      <c r="B90" s="83" t="s">
        <v>54</v>
      </c>
      <c r="C90" s="84"/>
      <c r="E90" s="81"/>
      <c r="F90" s="88" t="s">
        <v>55</v>
      </c>
      <c r="G90" s="88"/>
      <c r="H90" s="89">
        <f>SUM(H85+H89+H92)</f>
        <v>399991</v>
      </c>
    </row>
    <row r="91" spans="2:9">
      <c r="B91" s="90"/>
      <c r="C91" s="91"/>
      <c r="D91" s="91"/>
      <c r="E91" s="92"/>
      <c r="F91" s="93" t="s">
        <v>56</v>
      </c>
      <c r="G91" s="93"/>
      <c r="H91" s="74"/>
      <c r="I91" s="59"/>
    </row>
    <row r="92" ht="29.4" customHeight="1" spans="2:9">
      <c r="B92" s="94" t="s">
        <v>102</v>
      </c>
      <c r="C92" s="95"/>
      <c r="D92" s="95"/>
      <c r="E92" s="96"/>
      <c r="F92" s="97" t="s">
        <v>58</v>
      </c>
      <c r="G92" s="98"/>
      <c r="H92" s="99">
        <v>0.5</v>
      </c>
    </row>
    <row r="93" ht="29.25" customHeight="1" spans="2:9">
      <c r="B93" s="100" t="s">
        <v>59</v>
      </c>
      <c r="C93" s="101"/>
      <c r="D93" s="101"/>
      <c r="E93" s="102" t="s">
        <v>60</v>
      </c>
      <c r="F93" s="102"/>
      <c r="G93" s="102"/>
      <c r="H93" s="103"/>
    </row>
    <row r="94" ht="18.75" spans="2:9">
      <c r="B94" s="104" t="s">
        <v>61</v>
      </c>
      <c r="E94" s="105" t="s">
        <v>62</v>
      </c>
      <c r="F94" s="105"/>
      <c r="G94" s="105"/>
      <c r="H94" s="106"/>
    </row>
    <row r="95" ht="18.75" spans="2:9">
      <c r="B95" s="108" t="s">
        <v>63</v>
      </c>
      <c r="C95" s="109"/>
      <c r="D95" s="110"/>
      <c r="E95" s="110"/>
      <c r="F95" s="111"/>
      <c r="G95" s="111"/>
      <c r="H95" s="42"/>
    </row>
    <row r="96" spans="2:9">
      <c r="B96" s="112" t="s">
        <v>64</v>
      </c>
      <c r="C96" s="113"/>
      <c r="D96" s="113"/>
      <c r="E96" s="113"/>
      <c r="F96" s="114"/>
      <c r="G96" s="111"/>
      <c r="H96" s="42"/>
    </row>
    <row r="97" spans="2:8">
      <c r="B97" s="112" t="s">
        <v>65</v>
      </c>
      <c r="C97" s="113"/>
      <c r="D97" s="113"/>
      <c r="E97" s="113"/>
      <c r="F97" s="114"/>
      <c r="G97" s="111"/>
      <c r="H97" s="42"/>
    </row>
    <row r="98" spans="2:8">
      <c r="B98" s="41"/>
      <c r="F98" s="111"/>
      <c r="G98" s="111"/>
      <c r="H98" s="42"/>
    </row>
    <row r="99" ht="15.75" spans="2:8">
      <c r="B99" s="115" t="s">
        <v>66</v>
      </c>
      <c r="C99" s="116"/>
      <c r="D99" s="116"/>
      <c r="E99" s="116"/>
      <c r="F99" s="116"/>
      <c r="G99" s="116"/>
      <c r="H99" s="117" t="s">
        <v>67</v>
      </c>
    </row>
    <row r="100" spans="2:8">
      <c r="H100" s="118"/>
    </row>
    <row r="101" ht="18" customHeight="1" spans="2:8">
      <c r="B101" s="120" t="s">
        <v>69</v>
      </c>
      <c r="C101" s="120"/>
      <c r="D101" s="120"/>
      <c r="E101" s="120"/>
      <c r="F101" s="120"/>
      <c r="G101" s="120"/>
      <c r="H101" s="120"/>
    </row>
    <row r="102" ht="21" spans="2:8">
      <c r="B102" s="2" t="s">
        <v>1</v>
      </c>
      <c r="C102" s="3"/>
      <c r="D102" s="3"/>
      <c r="E102" s="3"/>
      <c r="F102" s="3"/>
      <c r="G102" s="3"/>
      <c r="H102" s="4"/>
    </row>
    <row r="103" ht="28.5" spans="2:8">
      <c r="B103" s="5" t="s">
        <v>2</v>
      </c>
      <c r="C103" s="6"/>
      <c r="D103" s="6"/>
      <c r="E103" s="6"/>
      <c r="F103" s="6"/>
      <c r="G103" s="6"/>
      <c r="H103" s="7"/>
    </row>
    <row r="104" spans="2:8">
      <c r="B104" s="8" t="s">
        <v>3</v>
      </c>
      <c r="C104" s="9"/>
      <c r="D104" s="9"/>
      <c r="E104" s="9"/>
      <c r="F104" s="9"/>
      <c r="G104" s="9"/>
      <c r="H104" s="10"/>
    </row>
    <row r="105" ht="21.75" spans="2:8">
      <c r="B105" s="11" t="s">
        <v>4</v>
      </c>
      <c r="C105" s="12"/>
      <c r="D105" s="12"/>
      <c r="E105" s="12"/>
      <c r="F105" s="12"/>
      <c r="G105" s="12"/>
      <c r="H105" s="13"/>
    </row>
    <row r="106" spans="2:8">
      <c r="B106" s="14" t="s">
        <v>5</v>
      </c>
      <c r="C106" s="15"/>
      <c r="D106" s="15"/>
      <c r="E106" s="15"/>
      <c r="F106" s="15"/>
      <c r="G106" s="15"/>
      <c r="H106" s="16"/>
    </row>
    <row r="107" spans="2:8">
      <c r="B107" s="17" t="s">
        <v>6</v>
      </c>
      <c r="C107" s="18"/>
      <c r="D107" s="18"/>
      <c r="E107" s="18"/>
      <c r="F107" s="18"/>
      <c r="G107" s="18"/>
      <c r="H107" s="19"/>
    </row>
    <row r="108" ht="15.75" customHeight="1" spans="2:8">
      <c r="B108" s="20" t="s">
        <v>7</v>
      </c>
      <c r="C108" s="21"/>
      <c r="D108" s="22" t="s">
        <v>8</v>
      </c>
      <c r="E108" s="23"/>
      <c r="F108" s="23"/>
      <c r="G108" s="23"/>
      <c r="H108" s="24"/>
    </row>
    <row r="109" ht="21" spans="2:8">
      <c r="B109" s="25" t="s">
        <v>9</v>
      </c>
      <c r="C109" s="21"/>
      <c r="D109" s="26" t="s">
        <v>10</v>
      </c>
      <c r="E109" s="26"/>
      <c r="F109" s="27" t="s">
        <v>87</v>
      </c>
      <c r="G109" s="28" t="s">
        <v>12</v>
      </c>
      <c r="H109" s="29">
        <v>46288</v>
      </c>
    </row>
    <row r="110" spans="2:8">
      <c r="B110" s="20" t="s">
        <v>13</v>
      </c>
      <c r="C110" s="21"/>
      <c r="D110" s="26" t="s">
        <v>14</v>
      </c>
      <c r="E110" s="26"/>
      <c r="F110" s="27" t="s">
        <v>87</v>
      </c>
      <c r="G110" s="28" t="s">
        <v>12</v>
      </c>
      <c r="H110" s="29">
        <v>46288</v>
      </c>
    </row>
    <row r="111" spans="2:8">
      <c r="B111" s="20" t="s">
        <v>15</v>
      </c>
      <c r="C111" s="21"/>
      <c r="D111" s="26" t="s">
        <v>16</v>
      </c>
      <c r="E111" s="26"/>
      <c r="F111" s="30"/>
      <c r="G111" s="31" t="s">
        <v>12</v>
      </c>
      <c r="H111" s="29"/>
    </row>
    <row r="112" spans="2:8">
      <c r="B112" s="20" t="s">
        <v>17</v>
      </c>
      <c r="C112" s="21"/>
      <c r="D112" s="26" t="s">
        <v>18</v>
      </c>
      <c r="E112" s="26"/>
      <c r="F112" s="32" t="s">
        <v>88</v>
      </c>
      <c r="G112" s="31" t="s">
        <v>12</v>
      </c>
      <c r="H112" s="29">
        <v>46287</v>
      </c>
    </row>
    <row r="113" spans="2:8">
      <c r="B113" s="20" t="s">
        <v>20</v>
      </c>
      <c r="C113" s="21"/>
      <c r="D113" s="26" t="s">
        <v>21</v>
      </c>
      <c r="E113" s="26"/>
      <c r="F113" s="33" t="s">
        <v>89</v>
      </c>
      <c r="G113" s="34" t="s">
        <v>12</v>
      </c>
      <c r="H113" s="29">
        <v>46288</v>
      </c>
    </row>
    <row r="114" spans="2:8">
      <c r="B114" s="35" t="s">
        <v>22</v>
      </c>
      <c r="C114" s="26"/>
      <c r="D114" s="26" t="s">
        <v>23</v>
      </c>
      <c r="E114" s="26"/>
      <c r="F114" s="21" t="s">
        <v>24</v>
      </c>
      <c r="G114" s="28" t="s">
        <v>25</v>
      </c>
      <c r="H114" s="36"/>
    </row>
    <row r="115" ht="15.75" spans="2:8">
      <c r="B115" s="37" t="s">
        <v>26</v>
      </c>
      <c r="C115" s="38"/>
      <c r="D115" s="38" t="s">
        <v>27</v>
      </c>
      <c r="E115" s="38"/>
      <c r="F115" s="38" t="s">
        <v>28</v>
      </c>
      <c r="G115" s="39" t="s">
        <v>29</v>
      </c>
      <c r="H115" s="40"/>
    </row>
    <row r="116" ht="3.75" customHeight="1" spans="2:8">
      <c r="B116" s="41"/>
      <c r="H116" s="42"/>
    </row>
    <row r="117" ht="39" spans="2:8">
      <c r="B117" s="43" t="s">
        <v>30</v>
      </c>
      <c r="C117" s="44" t="s">
        <v>31</v>
      </c>
      <c r="D117" s="45" t="s">
        <v>32</v>
      </c>
      <c r="E117" s="44" t="s">
        <v>33</v>
      </c>
      <c r="F117" s="44" t="s">
        <v>34</v>
      </c>
      <c r="G117" s="44" t="s">
        <v>35</v>
      </c>
      <c r="H117" s="46" t="s">
        <v>36</v>
      </c>
    </row>
    <row r="118" customHeight="1" spans="2:8">
      <c r="B118" s="47">
        <v>1</v>
      </c>
      <c r="C118" s="48" t="s">
        <v>90</v>
      </c>
      <c r="D118" s="49">
        <v>82072000</v>
      </c>
      <c r="E118" s="50" t="s">
        <v>39</v>
      </c>
      <c r="F118" s="51">
        <v>1</v>
      </c>
      <c r="G118" s="52">
        <v>82350</v>
      </c>
      <c r="H118" s="53">
        <f>SUM(F118*G118)</f>
        <v>82350</v>
      </c>
    </row>
    <row r="119" spans="2:8">
      <c r="B119" s="54"/>
      <c r="C119" s="55" t="s">
        <v>91</v>
      </c>
      <c r="D119" s="56"/>
      <c r="E119" s="50"/>
      <c r="F119" s="51"/>
      <c r="G119" s="57"/>
      <c r="H119" s="53"/>
    </row>
    <row r="120" ht="21" spans="2:8">
      <c r="B120" s="47">
        <v>2</v>
      </c>
      <c r="C120" s="133" t="s">
        <v>90</v>
      </c>
      <c r="D120" s="49">
        <v>82072000</v>
      </c>
      <c r="E120" s="50" t="s">
        <v>39</v>
      </c>
      <c r="F120" s="51">
        <v>2</v>
      </c>
      <c r="G120" s="57">
        <v>36200</v>
      </c>
      <c r="H120" s="53">
        <f>SUM(F120*G120)</f>
        <v>72400</v>
      </c>
    </row>
    <row r="121" spans="2:8">
      <c r="B121" s="54"/>
      <c r="C121" s="55" t="s">
        <v>92</v>
      </c>
      <c r="D121" s="56"/>
      <c r="E121" s="50"/>
      <c r="F121" s="51"/>
      <c r="G121" s="57"/>
      <c r="H121" s="53"/>
    </row>
    <row r="122" spans="2:8">
      <c r="B122" s="62">
        <v>3</v>
      </c>
      <c r="C122" s="32" t="s">
        <v>93</v>
      </c>
      <c r="D122" s="49">
        <v>82072000</v>
      </c>
      <c r="E122" s="50" t="s">
        <v>39</v>
      </c>
      <c r="F122" s="51">
        <v>1</v>
      </c>
      <c r="G122" s="57">
        <v>35450</v>
      </c>
      <c r="H122" s="53">
        <f>SUM(F122*G122)</f>
        <v>35450</v>
      </c>
    </row>
    <row r="123" spans="2:8">
      <c r="B123" s="62"/>
      <c r="C123" s="60" t="s">
        <v>94</v>
      </c>
      <c r="D123" s="56"/>
      <c r="E123" s="50"/>
      <c r="F123" s="51"/>
      <c r="G123" s="57"/>
      <c r="H123" s="53"/>
    </row>
    <row r="124" spans="2:8">
      <c r="B124" s="62">
        <v>4</v>
      </c>
      <c r="C124" s="32" t="s">
        <v>93</v>
      </c>
      <c r="D124" s="61">
        <v>82072000</v>
      </c>
      <c r="E124" s="50" t="s">
        <v>39</v>
      </c>
      <c r="F124" s="51">
        <v>1</v>
      </c>
      <c r="G124" s="57">
        <v>78900</v>
      </c>
      <c r="H124" s="53">
        <f>SUM(F124*G124)</f>
        <v>78900</v>
      </c>
    </row>
    <row r="125" spans="2:8">
      <c r="B125" s="62"/>
      <c r="C125" s="64" t="s">
        <v>95</v>
      </c>
      <c r="D125" s="63"/>
      <c r="E125" s="50"/>
      <c r="F125" s="51"/>
      <c r="G125" s="57"/>
      <c r="H125" s="53"/>
    </row>
    <row r="126" spans="2:8">
      <c r="B126" s="62">
        <v>5</v>
      </c>
      <c r="C126" s="32" t="s">
        <v>96</v>
      </c>
      <c r="D126" s="63">
        <v>82073000</v>
      </c>
      <c r="E126" s="50" t="s">
        <v>39</v>
      </c>
      <c r="F126" s="51">
        <v>1</v>
      </c>
      <c r="G126" s="57">
        <v>12500</v>
      </c>
      <c r="H126" s="53">
        <f>SUM(F126*G126)</f>
        <v>12500</v>
      </c>
    </row>
    <row r="127" spans="2:8">
      <c r="B127" s="62"/>
      <c r="C127" s="65" t="s">
        <v>97</v>
      </c>
      <c r="D127" s="27"/>
      <c r="E127" s="27"/>
      <c r="F127" s="66"/>
      <c r="G127" s="57"/>
      <c r="H127" s="53"/>
    </row>
    <row r="128" spans="2:8">
      <c r="B128" s="62">
        <v>6</v>
      </c>
      <c r="C128" s="32" t="s">
        <v>98</v>
      </c>
      <c r="D128" s="153">
        <v>82073000</v>
      </c>
      <c r="E128" s="50" t="s">
        <v>39</v>
      </c>
      <c r="F128" s="51">
        <v>1</v>
      </c>
      <c r="G128" s="57">
        <v>42000</v>
      </c>
      <c r="H128" s="53">
        <f>SUM(F128*G128)</f>
        <v>42000</v>
      </c>
    </row>
    <row r="129" spans="2:8">
      <c r="B129" s="62"/>
      <c r="C129" s="65" t="s">
        <v>99</v>
      </c>
      <c r="D129" s="27"/>
      <c r="E129" s="27"/>
      <c r="F129" s="66"/>
      <c r="G129" s="57"/>
      <c r="H129" s="53"/>
    </row>
    <row r="130" ht="21" spans="2:8">
      <c r="B130" s="62">
        <v>7</v>
      </c>
      <c r="C130" s="67" t="s">
        <v>100</v>
      </c>
      <c r="D130" s="153">
        <v>82073000</v>
      </c>
      <c r="E130" s="50" t="s">
        <v>39</v>
      </c>
      <c r="F130" s="51">
        <v>1</v>
      </c>
      <c r="G130" s="68">
        <v>15375</v>
      </c>
      <c r="H130" s="53">
        <f>SUM(F130*G130)</f>
        <v>15375</v>
      </c>
    </row>
    <row r="131" spans="2:8">
      <c r="B131" s="20"/>
      <c r="C131" s="65" t="s">
        <v>101</v>
      </c>
      <c r="D131" s="21"/>
      <c r="E131" s="21"/>
      <c r="F131" s="66"/>
      <c r="G131" s="70"/>
      <c r="H131" s="69"/>
    </row>
    <row r="132" spans="2:8">
      <c r="B132" s="62"/>
      <c r="C132" s="32"/>
      <c r="D132" s="63"/>
      <c r="E132" s="50"/>
      <c r="F132" s="51"/>
      <c r="G132" s="70"/>
      <c r="H132" s="69"/>
    </row>
    <row r="133" spans="2:8">
      <c r="B133" s="20"/>
      <c r="C133" s="65"/>
      <c r="D133" s="21"/>
      <c r="E133" s="21"/>
      <c r="F133" s="66"/>
      <c r="G133" s="70"/>
      <c r="H133" s="69"/>
    </row>
    <row r="134" ht="21" spans="2:8">
      <c r="B134" s="71" t="s">
        <v>42</v>
      </c>
      <c r="C134" s="72"/>
      <c r="D134" s="66" t="s">
        <v>43</v>
      </c>
      <c r="E134" s="73"/>
      <c r="F134" s="27">
        <f>SUM(F118:F133)</f>
        <v>8</v>
      </c>
      <c r="G134" s="21"/>
      <c r="H134" s="74"/>
    </row>
    <row r="135" spans="2:8">
      <c r="B135" s="75"/>
      <c r="C135" s="76"/>
      <c r="D135" s="76"/>
      <c r="E135" s="77"/>
      <c r="F135" s="26" t="s">
        <v>44</v>
      </c>
      <c r="G135" s="26"/>
      <c r="H135" s="78">
        <f>SUM(H118:H134)</f>
        <v>338975</v>
      </c>
    </row>
    <row r="136" spans="2:8">
      <c r="B136" s="79" t="s">
        <v>45</v>
      </c>
      <c r="C136" s="80"/>
      <c r="E136" s="81"/>
      <c r="F136" s="21" t="s">
        <v>46</v>
      </c>
      <c r="G136" s="82">
        <v>0.09</v>
      </c>
      <c r="H136" s="78">
        <f>SUM(H135*G136)</f>
        <v>30507.75</v>
      </c>
    </row>
    <row r="137" spans="2:8">
      <c r="B137" s="83" t="s">
        <v>47</v>
      </c>
      <c r="C137" s="84"/>
      <c r="E137" s="81"/>
      <c r="F137" s="21" t="s">
        <v>48</v>
      </c>
      <c r="G137" s="82">
        <v>0.09</v>
      </c>
      <c r="H137" s="78">
        <f>SUM(H135*G137)</f>
        <v>30507.75</v>
      </c>
    </row>
    <row r="138" spans="2:8">
      <c r="B138" s="83" t="s">
        <v>49</v>
      </c>
      <c r="C138" s="84"/>
      <c r="E138" s="81"/>
      <c r="F138" s="21" t="s">
        <v>50</v>
      </c>
      <c r="G138" s="82">
        <v>0.18</v>
      </c>
      <c r="H138" s="85" t="s">
        <v>51</v>
      </c>
    </row>
    <row r="139" spans="2:8">
      <c r="B139" s="83" t="s">
        <v>52</v>
      </c>
      <c r="C139" s="84"/>
      <c r="E139" s="81"/>
      <c r="F139" s="86" t="s">
        <v>53</v>
      </c>
      <c r="G139" s="87"/>
      <c r="H139" s="78">
        <f>SUM(H136:H138)</f>
        <v>61015.5</v>
      </c>
    </row>
    <row r="140" spans="2:8">
      <c r="B140" s="83" t="s">
        <v>54</v>
      </c>
      <c r="C140" s="84"/>
      <c r="E140" s="81"/>
      <c r="F140" s="88" t="s">
        <v>55</v>
      </c>
      <c r="G140" s="88"/>
      <c r="H140" s="89">
        <f>SUM(H135+H139+H142)</f>
        <v>399991</v>
      </c>
    </row>
    <row r="141" spans="2:8">
      <c r="B141" s="90"/>
      <c r="C141" s="91"/>
      <c r="D141" s="91"/>
      <c r="E141" s="92"/>
      <c r="F141" s="93" t="s">
        <v>56</v>
      </c>
      <c r="G141" s="93"/>
      <c r="H141" s="74"/>
    </row>
    <row r="142" ht="27" customHeight="1" spans="2:8">
      <c r="B142" s="94" t="s">
        <v>102</v>
      </c>
      <c r="C142" s="95"/>
      <c r="D142" s="95"/>
      <c r="E142" s="96"/>
      <c r="F142" s="97" t="s">
        <v>58</v>
      </c>
      <c r="G142" s="98"/>
      <c r="H142" s="99">
        <v>0.5</v>
      </c>
    </row>
    <row r="143" spans="2:8">
      <c r="B143" s="100" t="s">
        <v>59</v>
      </c>
      <c r="C143" s="101"/>
      <c r="D143" s="101"/>
      <c r="E143" s="102" t="s">
        <v>60</v>
      </c>
      <c r="F143" s="102"/>
      <c r="G143" s="102"/>
      <c r="H143" s="103"/>
    </row>
    <row r="144" ht="18.75" spans="2:8">
      <c r="B144" s="104" t="s">
        <v>61</v>
      </c>
      <c r="E144" s="105" t="s">
        <v>62</v>
      </c>
      <c r="F144" s="105"/>
      <c r="G144" s="105"/>
      <c r="H144" s="106"/>
    </row>
    <row r="145" ht="18.75" spans="2:8">
      <c r="B145" s="108" t="s">
        <v>63</v>
      </c>
      <c r="C145" s="109"/>
      <c r="D145" s="110"/>
      <c r="E145" s="110"/>
      <c r="F145" s="111"/>
      <c r="G145" s="111"/>
      <c r="H145" s="42"/>
    </row>
    <row r="146" spans="2:8">
      <c r="B146" s="112" t="s">
        <v>64</v>
      </c>
      <c r="C146" s="113"/>
      <c r="D146" s="113"/>
      <c r="E146" s="113"/>
      <c r="F146" s="114"/>
      <c r="G146" s="111"/>
      <c r="H146" s="42"/>
    </row>
    <row r="147" spans="2:8">
      <c r="B147" s="112" t="s">
        <v>65</v>
      </c>
      <c r="C147" s="113"/>
      <c r="D147" s="113"/>
      <c r="E147" s="113"/>
      <c r="F147" s="114"/>
      <c r="G147" s="111"/>
      <c r="H147" s="42"/>
    </row>
    <row r="148" spans="2:8">
      <c r="B148" s="41"/>
      <c r="F148" s="111"/>
      <c r="G148" s="111"/>
      <c r="H148" s="42"/>
    </row>
    <row r="149" ht="15.75" spans="2:8">
      <c r="B149" s="115" t="s">
        <v>66</v>
      </c>
      <c r="C149" s="116"/>
      <c r="D149" s="116"/>
      <c r="E149" s="116"/>
      <c r="F149" s="116"/>
      <c r="G149" s="116"/>
      <c r="H149" s="117" t="s">
        <v>67</v>
      </c>
    </row>
  </sheetData>
  <mergeCells count="48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4:C34"/>
    <mergeCell ref="D34:E34"/>
    <mergeCell ref="F39:G39"/>
    <mergeCell ref="B42:E42"/>
    <mergeCell ref="F42:G42"/>
    <mergeCell ref="E43:H43"/>
    <mergeCell ref="E44:H44"/>
    <mergeCell ref="B51:H51"/>
    <mergeCell ref="B52:H52"/>
    <mergeCell ref="B53:H53"/>
    <mergeCell ref="B54:H54"/>
    <mergeCell ref="B55:H55"/>
    <mergeCell ref="B56:H56"/>
    <mergeCell ref="B57:H57"/>
    <mergeCell ref="D58:H58"/>
    <mergeCell ref="G64:H64"/>
    <mergeCell ref="B84:C84"/>
    <mergeCell ref="D84:E84"/>
    <mergeCell ref="F89:G89"/>
    <mergeCell ref="B92:E92"/>
    <mergeCell ref="F92:G92"/>
    <mergeCell ref="E93:H93"/>
    <mergeCell ref="E94:H94"/>
    <mergeCell ref="B101:H101"/>
    <mergeCell ref="B102:H102"/>
    <mergeCell ref="B103:H103"/>
    <mergeCell ref="B104:H104"/>
    <mergeCell ref="B105:H105"/>
    <mergeCell ref="B106:H106"/>
    <mergeCell ref="B107:H107"/>
    <mergeCell ref="D108:H108"/>
    <mergeCell ref="G114:H114"/>
    <mergeCell ref="B134:C134"/>
    <mergeCell ref="D134:E134"/>
    <mergeCell ref="F139:G139"/>
    <mergeCell ref="B142:E142"/>
    <mergeCell ref="F142:G142"/>
    <mergeCell ref="E143:H143"/>
    <mergeCell ref="E144:H144"/>
  </mergeCells>
  <pageMargins left="0.17" right="0.17" top="0.17" bottom="0.17" header="10.9" footer="0.79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149"/>
  <sheetViews>
    <sheetView topLeftCell="A18" workbookViewId="0">
      <selection activeCell="B98" sqref="B98:H144"/>
    </sheetView>
  </sheetViews>
  <sheetFormatPr defaultColWidth="9" defaultRowHeight="15"/>
  <cols>
    <col min="1" max="1" width="0.552380952380952" customWidth="1"/>
    <col min="2" max="2" width="3.66666666666667" customWidth="1"/>
    <col min="3" max="3" width="38.8857142857143" customWidth="1"/>
    <col min="4" max="4" width="9.55238095238095" customWidth="1"/>
    <col min="5" max="5" width="7.88571428571429" customWidth="1"/>
    <col min="6" max="6" width="15.8857142857143" customWidth="1"/>
    <col min="7" max="7" width="11.8857142857143" customWidth="1"/>
    <col min="8" max="8" width="11.6666666666667" customWidth="1"/>
    <col min="9" max="9" width="0.666666666666667" customWidth="1"/>
  </cols>
  <sheetData>
    <row r="1" ht="15.75" spans="2:8">
      <c r="B1" s="1" t="s">
        <v>0</v>
      </c>
      <c r="C1" s="1"/>
      <c r="D1" s="1"/>
      <c r="E1" s="1"/>
      <c r="F1" s="1"/>
      <c r="G1" s="1"/>
      <c r="H1" s="1"/>
    </row>
    <row r="2" ht="21" spans="2:8">
      <c r="B2" s="2" t="s">
        <v>1</v>
      </c>
      <c r="C2" s="3"/>
      <c r="D2" s="3"/>
      <c r="E2" s="3"/>
      <c r="F2" s="3"/>
      <c r="G2" s="3"/>
      <c r="H2" s="4"/>
    </row>
    <row r="3" ht="28.5" spans="2:8">
      <c r="B3" s="5" t="s">
        <v>2</v>
      </c>
      <c r="C3" s="6"/>
      <c r="D3" s="6"/>
      <c r="E3" s="6"/>
      <c r="F3" s="6"/>
      <c r="G3" s="6"/>
      <c r="H3" s="7"/>
    </row>
    <row r="4" spans="2:8">
      <c r="B4" s="8" t="s">
        <v>3</v>
      </c>
      <c r="C4" s="9"/>
      <c r="D4" s="9"/>
      <c r="E4" s="9"/>
      <c r="F4" s="9"/>
      <c r="G4" s="9"/>
      <c r="H4" s="10"/>
    </row>
    <row r="5" ht="21.75" spans="2:8">
      <c r="B5" s="11" t="s">
        <v>4</v>
      </c>
      <c r="C5" s="12"/>
      <c r="D5" s="12"/>
      <c r="E5" s="12"/>
      <c r="F5" s="12"/>
      <c r="G5" s="12"/>
      <c r="H5" s="13"/>
    </row>
    <row r="6" spans="2:8">
      <c r="B6" s="14" t="s">
        <v>5</v>
      </c>
      <c r="C6" s="15"/>
      <c r="D6" s="15"/>
      <c r="E6" s="15"/>
      <c r="F6" s="15"/>
      <c r="G6" s="15"/>
      <c r="H6" s="16"/>
    </row>
    <row r="7" spans="2:8">
      <c r="B7" s="17" t="s">
        <v>6</v>
      </c>
      <c r="C7" s="18"/>
      <c r="D7" s="18"/>
      <c r="E7" s="18"/>
      <c r="F7" s="18"/>
      <c r="G7" s="18"/>
      <c r="H7" s="19"/>
    </row>
    <row r="8" ht="15.75" customHeight="1" spans="2:8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8">
      <c r="B9" s="25" t="s">
        <v>9</v>
      </c>
      <c r="C9" s="21"/>
      <c r="D9" s="26" t="s">
        <v>10</v>
      </c>
      <c r="E9" s="26"/>
      <c r="F9" s="27" t="s">
        <v>103</v>
      </c>
      <c r="G9" s="28" t="s">
        <v>12</v>
      </c>
      <c r="H9" s="29">
        <v>46288</v>
      </c>
    </row>
    <row r="10" spans="2:8">
      <c r="B10" s="20" t="s">
        <v>13</v>
      </c>
      <c r="C10" s="21"/>
      <c r="D10" s="26" t="s">
        <v>14</v>
      </c>
      <c r="E10" s="26"/>
      <c r="F10" s="27" t="s">
        <v>103</v>
      </c>
      <c r="G10" s="28" t="s">
        <v>12</v>
      </c>
      <c r="H10" s="29">
        <v>46288</v>
      </c>
    </row>
    <row r="11" spans="2:8">
      <c r="B11" s="20" t="s">
        <v>15</v>
      </c>
      <c r="C11" s="21"/>
      <c r="D11" s="26" t="s">
        <v>16</v>
      </c>
      <c r="E11" s="26"/>
      <c r="F11" s="30"/>
      <c r="G11" s="31" t="s">
        <v>12</v>
      </c>
      <c r="H11" s="29"/>
    </row>
    <row r="12" spans="2:8">
      <c r="B12" s="20" t="s">
        <v>17</v>
      </c>
      <c r="C12" s="21"/>
      <c r="D12" s="26" t="s">
        <v>18</v>
      </c>
      <c r="E12" s="26"/>
      <c r="F12" s="32" t="s">
        <v>104</v>
      </c>
      <c r="G12" s="31" t="s">
        <v>12</v>
      </c>
      <c r="H12" s="29">
        <v>46287</v>
      </c>
    </row>
    <row r="13" spans="2:8">
      <c r="B13" s="20" t="s">
        <v>20</v>
      </c>
      <c r="C13" s="21"/>
      <c r="D13" s="26" t="s">
        <v>21</v>
      </c>
      <c r="E13" s="26"/>
      <c r="F13" s="33" t="s">
        <v>105</v>
      </c>
      <c r="G13" s="34" t="s">
        <v>12</v>
      </c>
      <c r="H13" s="29">
        <v>46288</v>
      </c>
    </row>
    <row r="14" spans="2:8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8">
      <c r="B15" s="37" t="s">
        <v>26</v>
      </c>
      <c r="C15" s="38"/>
      <c r="D15" s="38" t="s">
        <v>27</v>
      </c>
      <c r="E15" s="38"/>
      <c r="F15" s="38" t="s">
        <v>28</v>
      </c>
      <c r="G15" s="39" t="s">
        <v>106</v>
      </c>
      <c r="H15" s="40"/>
    </row>
    <row r="16" ht="3.75" customHeight="1" spans="2:8">
      <c r="B16" s="41"/>
      <c r="H16" s="42"/>
    </row>
    <row r="17" ht="39" spans="2:13">
      <c r="B17" s="43" t="s">
        <v>30</v>
      </c>
      <c r="C17" s="44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M17" t="s">
        <v>37</v>
      </c>
    </row>
    <row r="18" customHeight="1" spans="2:13">
      <c r="B18" s="47">
        <v>1</v>
      </c>
      <c r="C18" s="48" t="s">
        <v>107</v>
      </c>
      <c r="D18" s="49">
        <v>82073000</v>
      </c>
      <c r="E18" s="50" t="s">
        <v>39</v>
      </c>
      <c r="F18" s="51">
        <v>1</v>
      </c>
      <c r="G18" s="52">
        <v>35800</v>
      </c>
      <c r="H18" s="53">
        <f>SUM(F18*G18)</f>
        <v>35800</v>
      </c>
    </row>
    <row r="19" spans="2:13">
      <c r="B19" s="54"/>
      <c r="C19" s="55" t="s">
        <v>108</v>
      </c>
      <c r="D19" s="56"/>
      <c r="E19" s="50"/>
      <c r="F19" s="51"/>
      <c r="G19" s="57"/>
      <c r="H19" s="53"/>
    </row>
    <row r="20" customHeight="1" spans="2:13">
      <c r="B20" s="47">
        <v>2</v>
      </c>
      <c r="C20" s="133" t="s">
        <v>109</v>
      </c>
      <c r="D20" s="49">
        <v>82073000</v>
      </c>
      <c r="E20" s="50" t="s">
        <v>39</v>
      </c>
      <c r="F20" s="51">
        <v>1</v>
      </c>
      <c r="G20" s="57">
        <v>66200</v>
      </c>
      <c r="H20" s="53">
        <f>SUM(F20*G20)</f>
        <v>66200</v>
      </c>
      <c r="L20" s="59"/>
    </row>
    <row r="21" customHeight="1" spans="2:13">
      <c r="B21" s="54"/>
      <c r="C21" s="55" t="s">
        <v>110</v>
      </c>
      <c r="D21" s="56"/>
      <c r="E21" s="50"/>
      <c r="F21" s="51"/>
      <c r="G21" s="57"/>
      <c r="H21" s="53"/>
      <c r="L21" s="59"/>
    </row>
    <row r="22" spans="2:13">
      <c r="B22" s="62">
        <v>3</v>
      </c>
      <c r="C22" s="32" t="s">
        <v>111</v>
      </c>
      <c r="D22" s="61">
        <v>82073000</v>
      </c>
      <c r="E22" s="50" t="s">
        <v>39</v>
      </c>
      <c r="F22" s="51">
        <v>1</v>
      </c>
      <c r="G22" s="57">
        <v>17300</v>
      </c>
      <c r="H22" s="53">
        <f>SUM(F22*G22)</f>
        <v>17300</v>
      </c>
    </row>
    <row r="23" customHeight="1" spans="2:13">
      <c r="B23" s="62">
        <v>4</v>
      </c>
      <c r="C23" s="60" t="s">
        <v>112</v>
      </c>
      <c r="D23" s="49">
        <v>82073000</v>
      </c>
      <c r="E23" s="50" t="s">
        <v>39</v>
      </c>
      <c r="F23" s="51">
        <v>1</v>
      </c>
      <c r="G23" s="57">
        <v>25200</v>
      </c>
      <c r="H23" s="53">
        <f>SUM(F23*G23)</f>
        <v>25200</v>
      </c>
    </row>
    <row r="24" spans="2:13">
      <c r="B24" s="62"/>
      <c r="C24" s="32" t="s">
        <v>113</v>
      </c>
      <c r="D24" s="61"/>
      <c r="E24" s="50"/>
      <c r="F24" s="51"/>
      <c r="G24" s="57"/>
      <c r="H24" s="53"/>
    </row>
    <row r="25" spans="2:13">
      <c r="B25" s="62">
        <v>5</v>
      </c>
      <c r="C25" s="64" t="s">
        <v>114</v>
      </c>
      <c r="D25" s="63">
        <v>84663020</v>
      </c>
      <c r="E25" s="50" t="s">
        <v>39</v>
      </c>
      <c r="F25" s="51">
        <v>1</v>
      </c>
      <c r="G25" s="57">
        <v>12380</v>
      </c>
      <c r="H25" s="53">
        <f>SUM(F25*G25)</f>
        <v>12380</v>
      </c>
    </row>
    <row r="26" spans="2:13">
      <c r="B26" s="62"/>
      <c r="C26" s="32" t="s">
        <v>115</v>
      </c>
      <c r="D26" s="152"/>
      <c r="E26" s="50"/>
      <c r="F26" s="51"/>
      <c r="G26" s="57"/>
      <c r="H26" s="53"/>
    </row>
    <row r="27" spans="2:13">
      <c r="B27" s="62">
        <v>6</v>
      </c>
      <c r="C27" s="32" t="s">
        <v>116</v>
      </c>
      <c r="D27" s="153">
        <v>82072000</v>
      </c>
      <c r="E27" s="50" t="s">
        <v>39</v>
      </c>
      <c r="F27" s="51">
        <v>1</v>
      </c>
      <c r="G27" s="57">
        <v>21000</v>
      </c>
      <c r="H27" s="53">
        <f>SUM(F27*G27)</f>
        <v>21000</v>
      </c>
    </row>
    <row r="28" spans="2:13">
      <c r="B28" s="62"/>
      <c r="C28" s="65" t="s">
        <v>117</v>
      </c>
      <c r="D28" s="27"/>
      <c r="E28" s="27"/>
      <c r="F28" s="66"/>
      <c r="G28" s="57"/>
      <c r="H28" s="53"/>
    </row>
    <row r="29" spans="2:13">
      <c r="B29" s="62">
        <v>7</v>
      </c>
      <c r="C29" s="32" t="s">
        <v>118</v>
      </c>
      <c r="D29" s="153">
        <v>82072000</v>
      </c>
      <c r="E29" s="50" t="s">
        <v>39</v>
      </c>
      <c r="F29" s="51">
        <v>1</v>
      </c>
      <c r="G29" s="57">
        <v>17700</v>
      </c>
      <c r="H29" s="53">
        <f>SUM(F29*G29)</f>
        <v>17700</v>
      </c>
    </row>
    <row r="30" customHeight="1" spans="2:13">
      <c r="B30" s="62"/>
      <c r="C30" s="65" t="s">
        <v>119</v>
      </c>
      <c r="D30" s="27"/>
      <c r="E30" s="27"/>
      <c r="F30" s="66"/>
      <c r="G30" s="57"/>
      <c r="H30" s="53"/>
    </row>
    <row r="31" customHeight="1" spans="2:13">
      <c r="B31" s="62">
        <v>8</v>
      </c>
      <c r="C31" s="67" t="s">
        <v>118</v>
      </c>
      <c r="D31" s="153">
        <v>82072000</v>
      </c>
      <c r="E31" s="50" t="s">
        <v>39</v>
      </c>
      <c r="F31" s="51">
        <v>1</v>
      </c>
      <c r="G31" s="68">
        <v>11000</v>
      </c>
      <c r="H31" s="53">
        <f>SUM(F31*G31)</f>
        <v>11000</v>
      </c>
    </row>
    <row r="32" customHeight="1" spans="2:13">
      <c r="B32" s="20"/>
      <c r="C32" s="65" t="s">
        <v>120</v>
      </c>
      <c r="D32" s="21"/>
      <c r="E32" s="21"/>
      <c r="F32" s="66"/>
      <c r="G32" s="70"/>
      <c r="H32" s="69"/>
    </row>
    <row r="33" customHeight="1" spans="2:9">
      <c r="B33" s="20"/>
      <c r="C33" s="65"/>
      <c r="D33" s="21"/>
      <c r="E33" s="21"/>
      <c r="F33" s="66"/>
      <c r="G33" s="70"/>
      <c r="H33" s="69"/>
    </row>
    <row r="34" customHeight="1" spans="2:9">
      <c r="B34" s="71" t="s">
        <v>42</v>
      </c>
      <c r="C34" s="72"/>
      <c r="D34" s="66" t="s">
        <v>43</v>
      </c>
      <c r="E34" s="73"/>
      <c r="F34" s="27">
        <f>SUM(F18:F33)</f>
        <v>8</v>
      </c>
      <c r="G34" s="21"/>
      <c r="H34" s="74"/>
    </row>
    <row r="35" spans="2:9">
      <c r="B35" s="75"/>
      <c r="C35" s="76"/>
      <c r="D35" s="76"/>
      <c r="E35" s="77"/>
      <c r="F35" s="26" t="s">
        <v>44</v>
      </c>
      <c r="G35" s="26"/>
      <c r="H35" s="78">
        <f>SUM(H18:H34)</f>
        <v>206580</v>
      </c>
    </row>
    <row r="36" spans="2:9">
      <c r="B36" s="79" t="s">
        <v>45</v>
      </c>
      <c r="C36" s="80"/>
      <c r="E36" s="81"/>
      <c r="F36" s="21" t="s">
        <v>46</v>
      </c>
      <c r="G36" s="82">
        <v>0.09</v>
      </c>
      <c r="H36" s="78">
        <f>SUM(H35*G36)</f>
        <v>18592.2</v>
      </c>
    </row>
    <row r="37" spans="2:9">
      <c r="B37" s="83" t="s">
        <v>47</v>
      </c>
      <c r="C37" s="84"/>
      <c r="E37" s="81"/>
      <c r="F37" s="21" t="s">
        <v>48</v>
      </c>
      <c r="G37" s="82">
        <v>0.09</v>
      </c>
      <c r="H37" s="78">
        <f>SUM(H35*G37)</f>
        <v>18592.2</v>
      </c>
    </row>
    <row r="38" spans="2:9">
      <c r="B38" s="83" t="s">
        <v>49</v>
      </c>
      <c r="C38" s="84"/>
      <c r="E38" s="81"/>
      <c r="F38" s="21" t="s">
        <v>50</v>
      </c>
      <c r="G38" s="82">
        <v>0.18</v>
      </c>
      <c r="H38" s="85" t="s">
        <v>51</v>
      </c>
    </row>
    <row r="39" spans="2:9">
      <c r="B39" s="83" t="s">
        <v>52</v>
      </c>
      <c r="C39" s="84"/>
      <c r="E39" s="81"/>
      <c r="F39" s="86" t="s">
        <v>53</v>
      </c>
      <c r="G39" s="87"/>
      <c r="H39" s="78">
        <f>SUM(H36:H38)</f>
        <v>37184.4</v>
      </c>
    </row>
    <row r="40" spans="2:9">
      <c r="B40" s="83" t="s">
        <v>54</v>
      </c>
      <c r="C40" s="84"/>
      <c r="E40" s="81"/>
      <c r="F40" s="88" t="s">
        <v>55</v>
      </c>
      <c r="G40" s="88"/>
      <c r="H40" s="89">
        <f>SUM(H35+H39+H42)</f>
        <v>243764</v>
      </c>
    </row>
    <row r="41" spans="2:9">
      <c r="B41" s="90"/>
      <c r="C41" s="91"/>
      <c r="D41" s="91"/>
      <c r="E41" s="92"/>
      <c r="F41" s="93" t="s">
        <v>56</v>
      </c>
      <c r="G41" s="93"/>
      <c r="H41" s="74"/>
    </row>
    <row r="42" ht="29.4" customHeight="1" spans="2:9">
      <c r="B42" s="94" t="s">
        <v>121</v>
      </c>
      <c r="C42" s="95"/>
      <c r="D42" s="95"/>
      <c r="E42" s="96"/>
      <c r="F42" s="97" t="s">
        <v>58</v>
      </c>
      <c r="G42" s="98"/>
      <c r="H42" s="99">
        <v>-0.4</v>
      </c>
    </row>
    <row r="43" ht="27.6" customHeight="1" spans="2:9">
      <c r="B43" s="100" t="s">
        <v>59</v>
      </c>
      <c r="C43" s="101"/>
      <c r="D43" s="101"/>
      <c r="E43" s="102" t="s">
        <v>60</v>
      </c>
      <c r="F43" s="102"/>
      <c r="G43" s="102"/>
      <c r="H43" s="103"/>
    </row>
    <row r="44" ht="18.75" spans="2:9">
      <c r="B44" s="104" t="s">
        <v>61</v>
      </c>
      <c r="E44" s="105" t="s">
        <v>62</v>
      </c>
      <c r="F44" s="105"/>
      <c r="G44" s="105"/>
      <c r="H44" s="106"/>
      <c r="I44" s="107"/>
    </row>
    <row r="45" ht="18.75" spans="2:9">
      <c r="B45" s="108" t="s">
        <v>63</v>
      </c>
      <c r="C45" s="109"/>
      <c r="D45" s="110"/>
      <c r="E45" s="110"/>
      <c r="F45" s="111"/>
      <c r="G45" s="111"/>
      <c r="H45" s="42"/>
    </row>
    <row r="46" spans="2:9">
      <c r="B46" s="112" t="s">
        <v>64</v>
      </c>
      <c r="C46" s="113"/>
      <c r="D46" s="113"/>
      <c r="E46" s="113"/>
      <c r="F46" s="114"/>
      <c r="G46" s="111"/>
      <c r="H46" s="42"/>
    </row>
    <row r="47" spans="2:9">
      <c r="B47" s="112" t="s">
        <v>65</v>
      </c>
      <c r="C47" s="113"/>
      <c r="D47" s="113"/>
      <c r="E47" s="113"/>
      <c r="F47" s="114"/>
      <c r="G47" s="111"/>
      <c r="H47" s="42"/>
    </row>
    <row r="48" spans="2:9">
      <c r="B48" s="41"/>
      <c r="F48" s="111"/>
      <c r="G48" s="111"/>
      <c r="H48" s="42"/>
    </row>
    <row r="49" ht="15.75" spans="2:24">
      <c r="B49" s="115" t="s">
        <v>66</v>
      </c>
      <c r="C49" s="116"/>
      <c r="D49" s="116"/>
      <c r="E49" s="116"/>
      <c r="F49" s="116"/>
      <c r="G49" s="116"/>
      <c r="H49" s="117" t="s">
        <v>67</v>
      </c>
    </row>
    <row r="50" spans="2:24">
      <c r="H50" s="118"/>
    </row>
    <row r="51" ht="15.75" customHeight="1" spans="2:24">
      <c r="B51" s="1" t="s">
        <v>68</v>
      </c>
      <c r="C51" s="1"/>
      <c r="D51" s="1"/>
      <c r="E51" s="1"/>
      <c r="F51" s="1"/>
      <c r="G51" s="1"/>
      <c r="H51" s="1"/>
    </row>
    <row r="52" ht="21" spans="2:24">
      <c r="B52" s="2" t="s">
        <v>1</v>
      </c>
      <c r="C52" s="3"/>
      <c r="D52" s="3"/>
      <c r="E52" s="3"/>
      <c r="F52" s="3"/>
      <c r="G52" s="3"/>
      <c r="H52" s="4"/>
    </row>
    <row r="53" ht="28.5" spans="2:24">
      <c r="B53" s="5" t="s">
        <v>2</v>
      </c>
      <c r="C53" s="6"/>
      <c r="D53" s="6"/>
      <c r="E53" s="6"/>
      <c r="F53" s="6"/>
      <c r="G53" s="6"/>
      <c r="H53" s="7"/>
    </row>
    <row r="54" spans="2:24">
      <c r="B54" s="8" t="s">
        <v>3</v>
      </c>
      <c r="C54" s="9"/>
      <c r="D54" s="9"/>
      <c r="E54" s="9"/>
      <c r="F54" s="9"/>
      <c r="G54" s="9"/>
      <c r="H54" s="10"/>
    </row>
    <row r="55" ht="21.75" spans="2:24">
      <c r="B55" s="11" t="s">
        <v>4</v>
      </c>
      <c r="C55" s="12"/>
      <c r="D55" s="12"/>
      <c r="E55" s="12"/>
      <c r="F55" s="12"/>
      <c r="G55" s="12"/>
      <c r="H55" s="13"/>
    </row>
    <row r="56" spans="2:24">
      <c r="B56" s="14" t="s">
        <v>5</v>
      </c>
      <c r="C56" s="15"/>
      <c r="D56" s="15"/>
      <c r="E56" s="15"/>
      <c r="F56" s="15"/>
      <c r="G56" s="15"/>
      <c r="H56" s="16"/>
    </row>
    <row r="57" spans="2:24">
      <c r="B57" s="17" t="s">
        <v>6</v>
      </c>
      <c r="C57" s="18"/>
      <c r="D57" s="18"/>
      <c r="E57" s="18"/>
      <c r="F57" s="18"/>
      <c r="G57" s="18"/>
      <c r="H57" s="19"/>
      <c r="X57" s="119"/>
    </row>
    <row r="58" ht="15.75" customHeight="1" spans="2:24">
      <c r="B58" s="20" t="s">
        <v>7</v>
      </c>
      <c r="C58" s="21"/>
      <c r="D58" s="22" t="s">
        <v>8</v>
      </c>
      <c r="E58" s="23"/>
      <c r="F58" s="23"/>
      <c r="G58" s="23"/>
      <c r="H58" s="24"/>
    </row>
    <row r="59" ht="21" spans="2:24">
      <c r="B59" s="25" t="s">
        <v>9</v>
      </c>
      <c r="C59" s="21"/>
      <c r="D59" s="26" t="s">
        <v>10</v>
      </c>
      <c r="E59" s="26"/>
      <c r="F59" s="27" t="s">
        <v>103</v>
      </c>
      <c r="G59" s="28" t="s">
        <v>12</v>
      </c>
      <c r="H59" s="29">
        <v>46288</v>
      </c>
    </row>
    <row r="60" spans="2:24">
      <c r="B60" s="20" t="s">
        <v>13</v>
      </c>
      <c r="C60" s="21"/>
      <c r="D60" s="26" t="s">
        <v>14</v>
      </c>
      <c r="E60" s="26"/>
      <c r="F60" s="27" t="s">
        <v>103</v>
      </c>
      <c r="G60" s="28" t="s">
        <v>12</v>
      </c>
      <c r="H60" s="29">
        <v>46288</v>
      </c>
    </row>
    <row r="61" spans="2:24">
      <c r="B61" s="20" t="s">
        <v>15</v>
      </c>
      <c r="C61" s="21"/>
      <c r="D61" s="26" t="s">
        <v>16</v>
      </c>
      <c r="E61" s="26"/>
      <c r="F61" s="30"/>
      <c r="G61" s="31" t="s">
        <v>12</v>
      </c>
      <c r="H61" s="29"/>
    </row>
    <row r="62" spans="2:24">
      <c r="B62" s="20" t="s">
        <v>17</v>
      </c>
      <c r="C62" s="21"/>
      <c r="D62" s="26" t="s">
        <v>18</v>
      </c>
      <c r="E62" s="26"/>
      <c r="F62" s="32" t="s">
        <v>104</v>
      </c>
      <c r="G62" s="31" t="s">
        <v>12</v>
      </c>
      <c r="H62" s="29">
        <v>46287</v>
      </c>
    </row>
    <row r="63" spans="2:24">
      <c r="B63" s="20" t="s">
        <v>20</v>
      </c>
      <c r="C63" s="21"/>
      <c r="D63" s="26" t="s">
        <v>21</v>
      </c>
      <c r="E63" s="26"/>
      <c r="F63" s="33" t="s">
        <v>105</v>
      </c>
      <c r="G63" s="34" t="s">
        <v>12</v>
      </c>
      <c r="H63" s="29">
        <v>46288</v>
      </c>
    </row>
    <row r="64" spans="2:24">
      <c r="B64" s="35" t="s">
        <v>22</v>
      </c>
      <c r="C64" s="26"/>
      <c r="D64" s="26" t="s">
        <v>23</v>
      </c>
      <c r="E64" s="26"/>
      <c r="F64" s="21" t="s">
        <v>24</v>
      </c>
      <c r="G64" s="28" t="s">
        <v>25</v>
      </c>
      <c r="H64" s="36"/>
    </row>
    <row r="65" ht="15.75" spans="2:8">
      <c r="B65" s="37" t="s">
        <v>26</v>
      </c>
      <c r="C65" s="38"/>
      <c r="D65" s="38" t="s">
        <v>27</v>
      </c>
      <c r="E65" s="38"/>
      <c r="F65" s="38" t="s">
        <v>28</v>
      </c>
      <c r="G65" s="39" t="s">
        <v>106</v>
      </c>
      <c r="H65" s="40"/>
    </row>
    <row r="66" ht="4.5" customHeight="1" spans="2:8">
      <c r="B66" s="41"/>
      <c r="H66" s="42"/>
    </row>
    <row r="67" ht="39" spans="2:8">
      <c r="B67" s="43" t="s">
        <v>30</v>
      </c>
      <c r="C67" s="44" t="s">
        <v>31</v>
      </c>
      <c r="D67" s="45" t="s">
        <v>32</v>
      </c>
      <c r="E67" s="44" t="s">
        <v>33</v>
      </c>
      <c r="F67" s="44" t="s">
        <v>34</v>
      </c>
      <c r="G67" s="44" t="s">
        <v>35</v>
      </c>
      <c r="H67" s="46" t="s">
        <v>36</v>
      </c>
    </row>
    <row r="68" customHeight="1" spans="2:8">
      <c r="B68" s="47">
        <v>1</v>
      </c>
      <c r="C68" s="48" t="s">
        <v>107</v>
      </c>
      <c r="D68" s="49">
        <v>82073000</v>
      </c>
      <c r="E68" s="50" t="s">
        <v>39</v>
      </c>
      <c r="F68" s="51">
        <v>1</v>
      </c>
      <c r="G68" s="52">
        <v>35800</v>
      </c>
      <c r="H68" s="53">
        <f>SUM(F68*G68)</f>
        <v>35800</v>
      </c>
    </row>
    <row r="69" spans="2:8">
      <c r="B69" s="54"/>
      <c r="C69" s="55" t="s">
        <v>108</v>
      </c>
      <c r="D69" s="56"/>
      <c r="E69" s="50"/>
      <c r="F69" s="51"/>
      <c r="G69" s="57"/>
      <c r="H69" s="53"/>
    </row>
    <row r="70" customHeight="1" spans="2:8">
      <c r="B70" s="47">
        <v>2</v>
      </c>
      <c r="C70" s="133" t="s">
        <v>109</v>
      </c>
      <c r="D70" s="49">
        <v>82073000</v>
      </c>
      <c r="E70" s="50" t="s">
        <v>39</v>
      </c>
      <c r="F70" s="51">
        <v>1</v>
      </c>
      <c r="G70" s="57">
        <v>66200</v>
      </c>
      <c r="H70" s="53">
        <f>SUM(F70*G70)</f>
        <v>66200</v>
      </c>
    </row>
    <row r="71" spans="2:8">
      <c r="B71" s="54"/>
      <c r="C71" s="55" t="s">
        <v>110</v>
      </c>
      <c r="D71" s="56"/>
      <c r="E71" s="50"/>
      <c r="F71" s="51"/>
      <c r="G71" s="57"/>
      <c r="H71" s="53"/>
    </row>
    <row r="72" customHeight="1" spans="2:8">
      <c r="B72" s="62">
        <v>3</v>
      </c>
      <c r="C72" s="32" t="s">
        <v>111</v>
      </c>
      <c r="D72" s="61">
        <v>82073000</v>
      </c>
      <c r="E72" s="50" t="s">
        <v>39</v>
      </c>
      <c r="F72" s="51">
        <v>1</v>
      </c>
      <c r="G72" s="57">
        <v>17300</v>
      </c>
      <c r="H72" s="53">
        <f>SUM(F72*G72)</f>
        <v>17300</v>
      </c>
    </row>
    <row r="73" spans="2:8">
      <c r="B73" s="62">
        <v>4</v>
      </c>
      <c r="C73" s="60" t="s">
        <v>112</v>
      </c>
      <c r="D73" s="49">
        <v>82073000</v>
      </c>
      <c r="E73" s="50" t="s">
        <v>39</v>
      </c>
      <c r="F73" s="51">
        <v>1</v>
      </c>
      <c r="G73" s="57">
        <v>25200</v>
      </c>
      <c r="H73" s="53">
        <f>SUM(F73*G73)</f>
        <v>25200</v>
      </c>
    </row>
    <row r="74" spans="2:8">
      <c r="B74" s="62"/>
      <c r="C74" s="32" t="s">
        <v>113</v>
      </c>
      <c r="D74" s="61"/>
      <c r="E74" s="50"/>
      <c r="F74" s="51"/>
      <c r="G74" s="57"/>
      <c r="H74" s="53"/>
    </row>
    <row r="75" spans="2:8">
      <c r="B75" s="62">
        <v>5</v>
      </c>
      <c r="C75" s="64" t="s">
        <v>114</v>
      </c>
      <c r="D75" s="63">
        <v>84663020</v>
      </c>
      <c r="E75" s="50" t="s">
        <v>39</v>
      </c>
      <c r="F75" s="51">
        <v>1</v>
      </c>
      <c r="G75" s="57">
        <v>12380</v>
      </c>
      <c r="H75" s="53">
        <f>SUM(F75*G75)</f>
        <v>12380</v>
      </c>
    </row>
    <row r="76" spans="2:8">
      <c r="B76" s="62"/>
      <c r="C76" s="32" t="s">
        <v>115</v>
      </c>
      <c r="D76" s="152"/>
      <c r="E76" s="50"/>
      <c r="F76" s="51"/>
      <c r="G76" s="57"/>
      <c r="H76" s="53"/>
    </row>
    <row r="77" spans="2:8">
      <c r="B77" s="62">
        <v>6</v>
      </c>
      <c r="C77" s="32" t="s">
        <v>116</v>
      </c>
      <c r="D77" s="153">
        <v>82072000</v>
      </c>
      <c r="E77" s="50" t="s">
        <v>39</v>
      </c>
      <c r="F77" s="51">
        <v>1</v>
      </c>
      <c r="G77" s="57">
        <v>21000</v>
      </c>
      <c r="H77" s="53">
        <f>SUM(F77*G77)</f>
        <v>21000</v>
      </c>
    </row>
    <row r="78" spans="2:8">
      <c r="B78" s="62"/>
      <c r="C78" s="65" t="s">
        <v>117</v>
      </c>
      <c r="D78" s="27"/>
      <c r="E78" s="27"/>
      <c r="F78" s="66"/>
      <c r="G78" s="57"/>
      <c r="H78" s="53"/>
    </row>
    <row r="79" spans="2:8">
      <c r="B79" s="62">
        <v>7</v>
      </c>
      <c r="C79" s="32" t="s">
        <v>118</v>
      </c>
      <c r="D79" s="153">
        <v>82072000</v>
      </c>
      <c r="E79" s="50" t="s">
        <v>39</v>
      </c>
      <c r="F79" s="51">
        <v>1</v>
      </c>
      <c r="G79" s="57">
        <v>17700</v>
      </c>
      <c r="H79" s="53">
        <f>SUM(F79*G79)</f>
        <v>17700</v>
      </c>
    </row>
    <row r="80" spans="2:8">
      <c r="B80" s="62"/>
      <c r="C80" s="65" t="s">
        <v>119</v>
      </c>
      <c r="D80" s="27"/>
      <c r="E80" s="27"/>
      <c r="F80" s="66"/>
      <c r="G80" s="57"/>
      <c r="H80" s="53"/>
    </row>
    <row r="81" spans="2:9">
      <c r="B81" s="62">
        <v>8</v>
      </c>
      <c r="C81" s="67" t="s">
        <v>118</v>
      </c>
      <c r="D81" s="153">
        <v>82072000</v>
      </c>
      <c r="E81" s="50" t="s">
        <v>39</v>
      </c>
      <c r="F81" s="51">
        <v>1</v>
      </c>
      <c r="G81" s="68">
        <v>11000</v>
      </c>
      <c r="H81" s="53">
        <f>SUM(F81*G81)</f>
        <v>11000</v>
      </c>
    </row>
    <row r="82" spans="2:9">
      <c r="B82" s="20"/>
      <c r="C82" s="65" t="s">
        <v>120</v>
      </c>
      <c r="D82" s="21"/>
      <c r="E82" s="21"/>
      <c r="F82" s="66"/>
      <c r="G82" s="70"/>
      <c r="H82" s="69"/>
    </row>
    <row r="83" spans="2:9">
      <c r="B83" s="20"/>
      <c r="C83" s="65"/>
      <c r="D83" s="21"/>
      <c r="E83" s="21"/>
      <c r="F83" s="66"/>
      <c r="G83" s="70"/>
      <c r="H83" s="69"/>
    </row>
    <row r="84" ht="21" spans="2:9">
      <c r="B84" s="71" t="s">
        <v>42</v>
      </c>
      <c r="C84" s="72"/>
      <c r="D84" s="66" t="s">
        <v>43</v>
      </c>
      <c r="E84" s="73"/>
      <c r="F84" s="27">
        <f>SUM(F68:F83)</f>
        <v>8</v>
      </c>
      <c r="G84" s="21"/>
      <c r="H84" s="74"/>
    </row>
    <row r="85" spans="2:9">
      <c r="B85" s="75"/>
      <c r="C85" s="76"/>
      <c r="D85" s="76"/>
      <c r="E85" s="77"/>
      <c r="F85" s="26" t="s">
        <v>44</v>
      </c>
      <c r="G85" s="26"/>
      <c r="H85" s="78">
        <f>SUM(H68:H84)</f>
        <v>206580</v>
      </c>
    </row>
    <row r="86" spans="2:9">
      <c r="B86" s="79" t="s">
        <v>45</v>
      </c>
      <c r="C86" s="80"/>
      <c r="E86" s="81"/>
      <c r="F86" s="21" t="s">
        <v>46</v>
      </c>
      <c r="G86" s="82">
        <v>0.09</v>
      </c>
      <c r="H86" s="78">
        <f>SUM(H85*G86)</f>
        <v>18592.2</v>
      </c>
    </row>
    <row r="87" spans="2:9">
      <c r="B87" s="83" t="s">
        <v>47</v>
      </c>
      <c r="C87" s="84"/>
      <c r="E87" s="81"/>
      <c r="F87" s="21" t="s">
        <v>48</v>
      </c>
      <c r="G87" s="82">
        <v>0.09</v>
      </c>
      <c r="H87" s="78">
        <f>SUM(H85*G87)</f>
        <v>18592.2</v>
      </c>
    </row>
    <row r="88" spans="2:9">
      <c r="B88" s="83" t="s">
        <v>49</v>
      </c>
      <c r="C88" s="84"/>
      <c r="E88" s="81"/>
      <c r="F88" s="21" t="s">
        <v>50</v>
      </c>
      <c r="G88" s="82">
        <v>0.18</v>
      </c>
      <c r="H88" s="85" t="s">
        <v>51</v>
      </c>
    </row>
    <row r="89" spans="2:9">
      <c r="B89" s="83" t="s">
        <v>52</v>
      </c>
      <c r="C89" s="84"/>
      <c r="E89" s="81"/>
      <c r="F89" s="86" t="s">
        <v>53</v>
      </c>
      <c r="G89" s="87"/>
      <c r="H89" s="78">
        <f>SUM(H86:H88)</f>
        <v>37184.4</v>
      </c>
    </row>
    <row r="90" customHeight="1" spans="2:9">
      <c r="B90" s="83" t="s">
        <v>54</v>
      </c>
      <c r="C90" s="84"/>
      <c r="E90" s="81"/>
      <c r="F90" s="88" t="s">
        <v>55</v>
      </c>
      <c r="G90" s="88"/>
      <c r="H90" s="89">
        <f>SUM(H85+H89+H92)</f>
        <v>243764</v>
      </c>
    </row>
    <row r="91" spans="2:9">
      <c r="B91" s="90"/>
      <c r="C91" s="91"/>
      <c r="D91" s="91"/>
      <c r="E91" s="92"/>
      <c r="F91" s="93" t="s">
        <v>56</v>
      </c>
      <c r="G91" s="93"/>
      <c r="H91" s="74"/>
      <c r="I91" s="59"/>
    </row>
    <row r="92" ht="29.4" customHeight="1" spans="2:9">
      <c r="B92" s="94" t="s">
        <v>121</v>
      </c>
      <c r="C92" s="95"/>
      <c r="D92" s="95"/>
      <c r="E92" s="96"/>
      <c r="F92" s="97" t="s">
        <v>58</v>
      </c>
      <c r="G92" s="98"/>
      <c r="H92" s="99">
        <v>-0.4</v>
      </c>
    </row>
    <row r="93" ht="29.25" customHeight="1" spans="2:9">
      <c r="B93" s="100" t="s">
        <v>59</v>
      </c>
      <c r="C93" s="101"/>
      <c r="D93" s="101"/>
      <c r="E93" s="102" t="s">
        <v>60</v>
      </c>
      <c r="F93" s="102"/>
      <c r="G93" s="102"/>
      <c r="H93" s="103"/>
    </row>
    <row r="94" ht="18.75" spans="2:9">
      <c r="B94" s="104" t="s">
        <v>61</v>
      </c>
      <c r="E94" s="105" t="s">
        <v>62</v>
      </c>
      <c r="F94" s="105"/>
      <c r="G94" s="105"/>
      <c r="H94" s="106"/>
    </row>
    <row r="95" ht="18.75" spans="2:9">
      <c r="B95" s="108" t="s">
        <v>63</v>
      </c>
      <c r="C95" s="109"/>
      <c r="D95" s="110"/>
      <c r="E95" s="110"/>
      <c r="F95" s="111"/>
      <c r="G95" s="111"/>
      <c r="H95" s="42"/>
    </row>
    <row r="96" spans="2:9">
      <c r="B96" s="112" t="s">
        <v>64</v>
      </c>
      <c r="C96" s="113"/>
      <c r="D96" s="113"/>
      <c r="E96" s="113"/>
      <c r="F96" s="114"/>
      <c r="G96" s="111"/>
      <c r="H96" s="42"/>
    </row>
    <row r="97" spans="2:8">
      <c r="B97" s="112" t="s">
        <v>65</v>
      </c>
      <c r="C97" s="113"/>
      <c r="D97" s="113"/>
      <c r="E97" s="113"/>
      <c r="F97" s="114"/>
      <c r="G97" s="111"/>
      <c r="H97" s="42"/>
    </row>
    <row r="98" spans="2:8">
      <c r="B98" s="41"/>
      <c r="F98" s="111"/>
      <c r="G98" s="111"/>
      <c r="H98" s="42"/>
    </row>
    <row r="99" ht="15.75" spans="2:8">
      <c r="B99" s="115" t="s">
        <v>66</v>
      </c>
      <c r="C99" s="116"/>
      <c r="D99" s="116"/>
      <c r="E99" s="116"/>
      <c r="F99" s="116"/>
      <c r="G99" s="116"/>
      <c r="H99" s="117" t="s">
        <v>67</v>
      </c>
    </row>
    <row r="100" spans="2:8">
      <c r="H100" s="118"/>
    </row>
    <row r="101" ht="18" customHeight="1" spans="2:8">
      <c r="B101" s="120" t="s">
        <v>69</v>
      </c>
      <c r="C101" s="120"/>
      <c r="D101" s="120"/>
      <c r="E101" s="120"/>
      <c r="F101" s="120"/>
      <c r="G101" s="120"/>
      <c r="H101" s="120"/>
    </row>
    <row r="102" ht="21" spans="2:8">
      <c r="B102" s="2" t="s">
        <v>1</v>
      </c>
      <c r="C102" s="3"/>
      <c r="D102" s="3"/>
      <c r="E102" s="3"/>
      <c r="F102" s="3"/>
      <c r="G102" s="3"/>
      <c r="H102" s="4"/>
    </row>
    <row r="103" ht="28.5" spans="2:8">
      <c r="B103" s="5" t="s">
        <v>2</v>
      </c>
      <c r="C103" s="6"/>
      <c r="D103" s="6"/>
      <c r="E103" s="6"/>
      <c r="F103" s="6"/>
      <c r="G103" s="6"/>
      <c r="H103" s="7"/>
    </row>
    <row r="104" spans="2:8">
      <c r="B104" s="8" t="s">
        <v>3</v>
      </c>
      <c r="C104" s="9"/>
      <c r="D104" s="9"/>
      <c r="E104" s="9"/>
      <c r="F104" s="9"/>
      <c r="G104" s="9"/>
      <c r="H104" s="10"/>
    </row>
    <row r="105" ht="21.75" spans="2:8">
      <c r="B105" s="11" t="s">
        <v>4</v>
      </c>
      <c r="C105" s="12"/>
      <c r="D105" s="12"/>
      <c r="E105" s="12"/>
      <c r="F105" s="12"/>
      <c r="G105" s="12"/>
      <c r="H105" s="13"/>
    </row>
    <row r="106" spans="2:8">
      <c r="B106" s="14" t="s">
        <v>5</v>
      </c>
      <c r="C106" s="15"/>
      <c r="D106" s="15"/>
      <c r="E106" s="15"/>
      <c r="F106" s="15"/>
      <c r="G106" s="15"/>
      <c r="H106" s="16"/>
    </row>
    <row r="107" spans="2:8">
      <c r="B107" s="17" t="s">
        <v>6</v>
      </c>
      <c r="C107" s="18"/>
      <c r="D107" s="18"/>
      <c r="E107" s="18"/>
      <c r="F107" s="18"/>
      <c r="G107" s="18"/>
      <c r="H107" s="19"/>
    </row>
    <row r="108" ht="15.75" customHeight="1" spans="2:8">
      <c r="B108" s="20" t="s">
        <v>7</v>
      </c>
      <c r="C108" s="21"/>
      <c r="D108" s="22" t="s">
        <v>8</v>
      </c>
      <c r="E108" s="23"/>
      <c r="F108" s="23"/>
      <c r="G108" s="23"/>
      <c r="H108" s="24"/>
    </row>
    <row r="109" ht="21" spans="2:8">
      <c r="B109" s="25" t="s">
        <v>9</v>
      </c>
      <c r="C109" s="21"/>
      <c r="D109" s="26" t="s">
        <v>10</v>
      </c>
      <c r="E109" s="26"/>
      <c r="F109" s="27" t="s">
        <v>103</v>
      </c>
      <c r="G109" s="28" t="s">
        <v>12</v>
      </c>
      <c r="H109" s="29">
        <v>46288</v>
      </c>
    </row>
    <row r="110" spans="2:8">
      <c r="B110" s="20" t="s">
        <v>13</v>
      </c>
      <c r="C110" s="21"/>
      <c r="D110" s="26" t="s">
        <v>14</v>
      </c>
      <c r="E110" s="26"/>
      <c r="F110" s="27" t="s">
        <v>103</v>
      </c>
      <c r="G110" s="28" t="s">
        <v>12</v>
      </c>
      <c r="H110" s="29">
        <v>46288</v>
      </c>
    </row>
    <row r="111" spans="2:8">
      <c r="B111" s="20" t="s">
        <v>15</v>
      </c>
      <c r="C111" s="21"/>
      <c r="D111" s="26" t="s">
        <v>16</v>
      </c>
      <c r="E111" s="26"/>
      <c r="F111" s="30"/>
      <c r="G111" s="31" t="s">
        <v>12</v>
      </c>
      <c r="H111" s="29"/>
    </row>
    <row r="112" spans="2:8">
      <c r="B112" s="20" t="s">
        <v>17</v>
      </c>
      <c r="C112" s="21"/>
      <c r="D112" s="26" t="s">
        <v>18</v>
      </c>
      <c r="E112" s="26"/>
      <c r="F112" s="32" t="s">
        <v>104</v>
      </c>
      <c r="G112" s="31" t="s">
        <v>12</v>
      </c>
      <c r="H112" s="29">
        <v>46287</v>
      </c>
    </row>
    <row r="113" spans="2:8">
      <c r="B113" s="20" t="s">
        <v>20</v>
      </c>
      <c r="C113" s="21"/>
      <c r="D113" s="26" t="s">
        <v>21</v>
      </c>
      <c r="E113" s="26"/>
      <c r="F113" s="33" t="s">
        <v>105</v>
      </c>
      <c r="G113" s="34" t="s">
        <v>12</v>
      </c>
      <c r="H113" s="29">
        <v>46288</v>
      </c>
    </row>
    <row r="114" spans="2:8">
      <c r="B114" s="35" t="s">
        <v>22</v>
      </c>
      <c r="C114" s="26"/>
      <c r="D114" s="26" t="s">
        <v>23</v>
      </c>
      <c r="E114" s="26"/>
      <c r="F114" s="21" t="s">
        <v>24</v>
      </c>
      <c r="G114" s="28" t="s">
        <v>25</v>
      </c>
      <c r="H114" s="36"/>
    </row>
    <row r="115" ht="15.75" spans="2:8">
      <c r="B115" s="37" t="s">
        <v>26</v>
      </c>
      <c r="C115" s="38"/>
      <c r="D115" s="38" t="s">
        <v>27</v>
      </c>
      <c r="E115" s="38"/>
      <c r="F115" s="38" t="s">
        <v>28</v>
      </c>
      <c r="G115" s="39" t="s">
        <v>106</v>
      </c>
      <c r="H115" s="40"/>
    </row>
    <row r="116" ht="3.75" customHeight="1" spans="2:8">
      <c r="B116" s="41"/>
      <c r="H116" s="42"/>
    </row>
    <row r="117" ht="39" spans="2:8">
      <c r="B117" s="43" t="s">
        <v>30</v>
      </c>
      <c r="C117" s="44" t="s">
        <v>31</v>
      </c>
      <c r="D117" s="45" t="s">
        <v>32</v>
      </c>
      <c r="E117" s="44" t="s">
        <v>33</v>
      </c>
      <c r="F117" s="44" t="s">
        <v>34</v>
      </c>
      <c r="G117" s="44" t="s">
        <v>35</v>
      </c>
      <c r="H117" s="46" t="s">
        <v>36</v>
      </c>
    </row>
    <row r="118" customHeight="1" spans="2:8">
      <c r="B118" s="47">
        <v>1</v>
      </c>
      <c r="C118" s="48" t="s">
        <v>107</v>
      </c>
      <c r="D118" s="49">
        <v>82073000</v>
      </c>
      <c r="E118" s="50" t="s">
        <v>39</v>
      </c>
      <c r="F118" s="51">
        <v>1</v>
      </c>
      <c r="G118" s="52">
        <v>35800</v>
      </c>
      <c r="H118" s="53">
        <f>SUM(F118*G118)</f>
        <v>35800</v>
      </c>
    </row>
    <row r="119" spans="2:8">
      <c r="B119" s="54"/>
      <c r="C119" s="55" t="s">
        <v>108</v>
      </c>
      <c r="D119" s="56"/>
      <c r="E119" s="50"/>
      <c r="F119" s="51"/>
      <c r="G119" s="57"/>
      <c r="H119" s="53"/>
    </row>
    <row r="120" spans="2:8">
      <c r="B120" s="47">
        <v>2</v>
      </c>
      <c r="C120" s="133" t="s">
        <v>109</v>
      </c>
      <c r="D120" s="49">
        <v>82073000</v>
      </c>
      <c r="E120" s="50" t="s">
        <v>39</v>
      </c>
      <c r="F120" s="51">
        <v>1</v>
      </c>
      <c r="G120" s="57">
        <v>66200</v>
      </c>
      <c r="H120" s="53">
        <f>SUM(F120*G120)</f>
        <v>66200</v>
      </c>
    </row>
    <row r="121" spans="2:8">
      <c r="B121" s="54"/>
      <c r="C121" s="55" t="s">
        <v>110</v>
      </c>
      <c r="D121" s="56"/>
      <c r="E121" s="50"/>
      <c r="F121" s="51"/>
      <c r="G121" s="57"/>
      <c r="H121" s="53"/>
    </row>
    <row r="122" spans="2:8">
      <c r="B122" s="62">
        <v>3</v>
      </c>
      <c r="C122" s="32" t="s">
        <v>111</v>
      </c>
      <c r="D122" s="61">
        <v>82073000</v>
      </c>
      <c r="E122" s="50" t="s">
        <v>39</v>
      </c>
      <c r="F122" s="51">
        <v>1</v>
      </c>
      <c r="G122" s="57">
        <v>17300</v>
      </c>
      <c r="H122" s="53">
        <f>SUM(F122*G122)</f>
        <v>17300</v>
      </c>
    </row>
    <row r="123" spans="2:8">
      <c r="B123" s="62">
        <v>4</v>
      </c>
      <c r="C123" s="60" t="s">
        <v>112</v>
      </c>
      <c r="D123" s="49">
        <v>82073000</v>
      </c>
      <c r="E123" s="50" t="s">
        <v>39</v>
      </c>
      <c r="F123" s="51">
        <v>1</v>
      </c>
      <c r="G123" s="57">
        <v>25200</v>
      </c>
      <c r="H123" s="53">
        <f>SUM(F123*G123)</f>
        <v>25200</v>
      </c>
    </row>
    <row r="124" spans="2:8">
      <c r="B124" s="62"/>
      <c r="C124" s="32" t="s">
        <v>113</v>
      </c>
      <c r="D124" s="61"/>
      <c r="E124" s="50"/>
      <c r="F124" s="51"/>
      <c r="G124" s="57"/>
      <c r="H124" s="53"/>
    </row>
    <row r="125" spans="2:8">
      <c r="B125" s="62">
        <v>5</v>
      </c>
      <c r="C125" s="64" t="s">
        <v>114</v>
      </c>
      <c r="D125" s="63">
        <v>84663020</v>
      </c>
      <c r="E125" s="50" t="s">
        <v>39</v>
      </c>
      <c r="F125" s="51">
        <v>1</v>
      </c>
      <c r="G125" s="57">
        <v>12380</v>
      </c>
      <c r="H125" s="53">
        <f>SUM(F125*G125)</f>
        <v>12380</v>
      </c>
    </row>
    <row r="126" spans="2:8">
      <c r="B126" s="62"/>
      <c r="C126" s="32" t="s">
        <v>115</v>
      </c>
      <c r="D126" s="152"/>
      <c r="E126" s="50"/>
      <c r="F126" s="51"/>
      <c r="G126" s="57"/>
      <c r="H126" s="53"/>
    </row>
    <row r="127" spans="2:8">
      <c r="B127" s="62">
        <v>6</v>
      </c>
      <c r="C127" s="32" t="s">
        <v>116</v>
      </c>
      <c r="D127" s="153">
        <v>82072000</v>
      </c>
      <c r="E127" s="50" t="s">
        <v>39</v>
      </c>
      <c r="F127" s="51">
        <v>1</v>
      </c>
      <c r="G127" s="57">
        <v>21000</v>
      </c>
      <c r="H127" s="53">
        <f>SUM(F127*G127)</f>
        <v>21000</v>
      </c>
    </row>
    <row r="128" spans="2:8">
      <c r="B128" s="62"/>
      <c r="C128" s="65" t="s">
        <v>117</v>
      </c>
      <c r="D128" s="27"/>
      <c r="E128" s="27"/>
      <c r="F128" s="66"/>
      <c r="G128" s="57"/>
      <c r="H128" s="53"/>
    </row>
    <row r="129" spans="2:8">
      <c r="B129" s="62">
        <v>7</v>
      </c>
      <c r="C129" s="32" t="s">
        <v>118</v>
      </c>
      <c r="D129" s="153">
        <v>82072000</v>
      </c>
      <c r="E129" s="50" t="s">
        <v>39</v>
      </c>
      <c r="F129" s="51">
        <v>1</v>
      </c>
      <c r="G129" s="57">
        <v>17700</v>
      </c>
      <c r="H129" s="53">
        <f>SUM(F129*G129)</f>
        <v>17700</v>
      </c>
    </row>
    <row r="130" spans="2:8">
      <c r="B130" s="62"/>
      <c r="C130" s="65" t="s">
        <v>119</v>
      </c>
      <c r="D130" s="27"/>
      <c r="E130" s="27"/>
      <c r="F130" s="66"/>
      <c r="G130" s="57"/>
      <c r="H130" s="53"/>
    </row>
    <row r="131" spans="2:8">
      <c r="B131" s="62">
        <v>8</v>
      </c>
      <c r="C131" s="67" t="s">
        <v>118</v>
      </c>
      <c r="D131" s="153">
        <v>82072000</v>
      </c>
      <c r="E131" s="50" t="s">
        <v>39</v>
      </c>
      <c r="F131" s="51">
        <v>1</v>
      </c>
      <c r="G131" s="68">
        <v>11000</v>
      </c>
      <c r="H131" s="53">
        <f>SUM(F131*G131)</f>
        <v>11000</v>
      </c>
    </row>
    <row r="132" spans="2:8">
      <c r="B132" s="20"/>
      <c r="C132" s="65" t="s">
        <v>120</v>
      </c>
      <c r="D132" s="21"/>
      <c r="E132" s="21"/>
      <c r="F132" s="66"/>
      <c r="G132" s="70"/>
      <c r="H132" s="69"/>
    </row>
    <row r="133" spans="2:8">
      <c r="B133" s="20"/>
      <c r="C133" s="65"/>
      <c r="D133" s="21"/>
      <c r="E133" s="21"/>
      <c r="F133" s="66"/>
      <c r="G133" s="70"/>
      <c r="H133" s="69"/>
    </row>
    <row r="134" ht="21" spans="2:8">
      <c r="B134" s="71" t="s">
        <v>42</v>
      </c>
      <c r="C134" s="72"/>
      <c r="D134" s="66" t="s">
        <v>43</v>
      </c>
      <c r="E134" s="73"/>
      <c r="F134" s="27">
        <f>SUM(F118:F133)</f>
        <v>8</v>
      </c>
      <c r="G134" s="21"/>
      <c r="H134" s="74"/>
    </row>
    <row r="135" spans="2:8">
      <c r="B135" s="75"/>
      <c r="C135" s="76"/>
      <c r="D135" s="76"/>
      <c r="E135" s="77"/>
      <c r="F135" s="26" t="s">
        <v>44</v>
      </c>
      <c r="G135" s="26"/>
      <c r="H135" s="78">
        <f>SUM(H118:H134)</f>
        <v>206580</v>
      </c>
    </row>
    <row r="136" spans="2:8">
      <c r="B136" s="79" t="s">
        <v>45</v>
      </c>
      <c r="C136" s="80"/>
      <c r="E136" s="81"/>
      <c r="F136" s="21" t="s">
        <v>46</v>
      </c>
      <c r="G136" s="82">
        <v>0.09</v>
      </c>
      <c r="H136" s="78">
        <f>SUM(H135*G136)</f>
        <v>18592.2</v>
      </c>
    </row>
    <row r="137" spans="2:8">
      <c r="B137" s="83" t="s">
        <v>47</v>
      </c>
      <c r="C137" s="84"/>
      <c r="E137" s="81"/>
      <c r="F137" s="21" t="s">
        <v>48</v>
      </c>
      <c r="G137" s="82">
        <v>0.09</v>
      </c>
      <c r="H137" s="78">
        <f>SUM(H135*G137)</f>
        <v>18592.2</v>
      </c>
    </row>
    <row r="138" spans="2:8">
      <c r="B138" s="83" t="s">
        <v>49</v>
      </c>
      <c r="C138" s="84"/>
      <c r="E138" s="81"/>
      <c r="F138" s="21" t="s">
        <v>50</v>
      </c>
      <c r="G138" s="82">
        <v>0.18</v>
      </c>
      <c r="H138" s="85" t="s">
        <v>51</v>
      </c>
    </row>
    <row r="139" spans="2:8">
      <c r="B139" s="83" t="s">
        <v>52</v>
      </c>
      <c r="C139" s="84"/>
      <c r="E139" s="81"/>
      <c r="F139" s="86" t="s">
        <v>53</v>
      </c>
      <c r="G139" s="87"/>
      <c r="H139" s="78">
        <f>SUM(H136:H138)</f>
        <v>37184.4</v>
      </c>
    </row>
    <row r="140" spans="2:8">
      <c r="B140" s="83" t="s">
        <v>54</v>
      </c>
      <c r="C140" s="84"/>
      <c r="E140" s="81"/>
      <c r="F140" s="88" t="s">
        <v>55</v>
      </c>
      <c r="G140" s="88"/>
      <c r="H140" s="89">
        <f>SUM(H135+H139+H142)</f>
        <v>243764</v>
      </c>
    </row>
    <row r="141" spans="2:8">
      <c r="B141" s="90"/>
      <c r="C141" s="91"/>
      <c r="D141" s="91"/>
      <c r="E141" s="92"/>
      <c r="F141" s="93" t="s">
        <v>56</v>
      </c>
      <c r="G141" s="93"/>
      <c r="H141" s="74"/>
    </row>
    <row r="142" ht="27" customHeight="1" spans="2:8">
      <c r="B142" s="94" t="s">
        <v>121</v>
      </c>
      <c r="C142" s="95"/>
      <c r="D142" s="95"/>
      <c r="E142" s="96"/>
      <c r="F142" s="97" t="s">
        <v>58</v>
      </c>
      <c r="G142" s="98"/>
      <c r="H142" s="99">
        <v>-0.4</v>
      </c>
    </row>
    <row r="143" spans="2:8">
      <c r="B143" s="100" t="s">
        <v>59</v>
      </c>
      <c r="C143" s="101"/>
      <c r="D143" s="101"/>
      <c r="E143" s="102" t="s">
        <v>60</v>
      </c>
      <c r="F143" s="102"/>
      <c r="G143" s="102"/>
      <c r="H143" s="103"/>
    </row>
    <row r="144" ht="18.75" spans="2:8">
      <c r="B144" s="104" t="s">
        <v>61</v>
      </c>
      <c r="E144" s="105" t="s">
        <v>62</v>
      </c>
      <c r="F144" s="105"/>
      <c r="G144" s="105"/>
      <c r="H144" s="106"/>
    </row>
    <row r="145" ht="18.75" spans="2:8">
      <c r="B145" s="108" t="s">
        <v>63</v>
      </c>
      <c r="C145" s="109"/>
      <c r="D145" s="110"/>
      <c r="E145" s="110"/>
      <c r="F145" s="111"/>
      <c r="G145" s="111"/>
      <c r="H145" s="42"/>
    </row>
    <row r="146" spans="2:8">
      <c r="B146" s="112" t="s">
        <v>64</v>
      </c>
      <c r="C146" s="113"/>
      <c r="D146" s="113"/>
      <c r="E146" s="113"/>
      <c r="F146" s="114"/>
      <c r="G146" s="111"/>
      <c r="H146" s="42"/>
    </row>
    <row r="147" spans="2:8">
      <c r="B147" s="112" t="s">
        <v>65</v>
      </c>
      <c r="C147" s="113"/>
      <c r="D147" s="113"/>
      <c r="E147" s="113"/>
      <c r="F147" s="114"/>
      <c r="G147" s="111"/>
      <c r="H147" s="42"/>
    </row>
    <row r="148" spans="2:8">
      <c r="B148" s="41"/>
      <c r="F148" s="111"/>
      <c r="G148" s="111"/>
      <c r="H148" s="42"/>
    </row>
    <row r="149" ht="15.75" spans="2:8">
      <c r="B149" s="115" t="s">
        <v>66</v>
      </c>
      <c r="C149" s="116"/>
      <c r="D149" s="116"/>
      <c r="E149" s="116"/>
      <c r="F149" s="116"/>
      <c r="G149" s="116"/>
      <c r="H149" s="117" t="s">
        <v>67</v>
      </c>
    </row>
  </sheetData>
  <mergeCells count="48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4:C34"/>
    <mergeCell ref="D34:E34"/>
    <mergeCell ref="F39:G39"/>
    <mergeCell ref="B42:E42"/>
    <mergeCell ref="F42:G42"/>
    <mergeCell ref="E43:H43"/>
    <mergeCell ref="E44:H44"/>
    <mergeCell ref="B51:H51"/>
    <mergeCell ref="B52:H52"/>
    <mergeCell ref="B53:H53"/>
    <mergeCell ref="B54:H54"/>
    <mergeCell ref="B55:H55"/>
    <mergeCell ref="B56:H56"/>
    <mergeCell ref="B57:H57"/>
    <mergeCell ref="D58:H58"/>
    <mergeCell ref="G64:H64"/>
    <mergeCell ref="B84:C84"/>
    <mergeCell ref="D84:E84"/>
    <mergeCell ref="F89:G89"/>
    <mergeCell ref="B92:E92"/>
    <mergeCell ref="F92:G92"/>
    <mergeCell ref="E93:H93"/>
    <mergeCell ref="E94:H94"/>
    <mergeCell ref="B101:H101"/>
    <mergeCell ref="B102:H102"/>
    <mergeCell ref="B103:H103"/>
    <mergeCell ref="B104:H104"/>
    <mergeCell ref="B105:H105"/>
    <mergeCell ref="B106:H106"/>
    <mergeCell ref="B107:H107"/>
    <mergeCell ref="D108:H108"/>
    <mergeCell ref="G114:H114"/>
    <mergeCell ref="B134:C134"/>
    <mergeCell ref="D134:E134"/>
    <mergeCell ref="F139:G139"/>
    <mergeCell ref="B142:E142"/>
    <mergeCell ref="F142:G142"/>
    <mergeCell ref="E143:H143"/>
    <mergeCell ref="E144:H144"/>
  </mergeCells>
  <pageMargins left="0.17" right="0.17" top="0.17" bottom="0.17" header="10.9" footer="0.79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149"/>
  <sheetViews>
    <sheetView workbookViewId="0">
      <selection activeCell="B98" sqref="B98:H144"/>
    </sheetView>
  </sheetViews>
  <sheetFormatPr defaultColWidth="9" defaultRowHeight="15"/>
  <cols>
    <col min="1" max="1" width="0.552380952380952" customWidth="1"/>
    <col min="2" max="2" width="3.66666666666667" customWidth="1"/>
    <col min="3" max="3" width="38.8857142857143" customWidth="1"/>
    <col min="4" max="4" width="9.55238095238095" customWidth="1"/>
    <col min="5" max="5" width="7.88571428571429" customWidth="1"/>
    <col min="6" max="6" width="15.8857142857143" customWidth="1"/>
    <col min="7" max="7" width="11.8857142857143" customWidth="1"/>
    <col min="8" max="8" width="11.6666666666667" customWidth="1"/>
    <col min="9" max="9" width="0.666666666666667" customWidth="1"/>
  </cols>
  <sheetData>
    <row r="1" ht="15.75" spans="2:8">
      <c r="B1" s="1" t="s">
        <v>0</v>
      </c>
      <c r="C1" s="1"/>
      <c r="D1" s="1"/>
      <c r="E1" s="1"/>
      <c r="F1" s="1"/>
      <c r="G1" s="1"/>
      <c r="H1" s="1"/>
    </row>
    <row r="2" ht="21" spans="2:8">
      <c r="B2" s="2" t="s">
        <v>1</v>
      </c>
      <c r="C2" s="3"/>
      <c r="D2" s="3"/>
      <c r="E2" s="3"/>
      <c r="F2" s="3"/>
      <c r="G2" s="3"/>
      <c r="H2" s="4"/>
    </row>
    <row r="3" ht="28.5" spans="2:8">
      <c r="B3" s="5" t="s">
        <v>2</v>
      </c>
      <c r="C3" s="6"/>
      <c r="D3" s="6"/>
      <c r="E3" s="6"/>
      <c r="F3" s="6"/>
      <c r="G3" s="6"/>
      <c r="H3" s="7"/>
    </row>
    <row r="4" spans="2:8">
      <c r="B4" s="8" t="s">
        <v>3</v>
      </c>
      <c r="C4" s="9"/>
      <c r="D4" s="9"/>
      <c r="E4" s="9"/>
      <c r="F4" s="9"/>
      <c r="G4" s="9"/>
      <c r="H4" s="10"/>
    </row>
    <row r="5" ht="21.75" spans="2:8">
      <c r="B5" s="11" t="s">
        <v>4</v>
      </c>
      <c r="C5" s="12"/>
      <c r="D5" s="12"/>
      <c r="E5" s="12"/>
      <c r="F5" s="12"/>
      <c r="G5" s="12"/>
      <c r="H5" s="13"/>
    </row>
    <row r="6" spans="2:8">
      <c r="B6" s="14" t="s">
        <v>5</v>
      </c>
      <c r="C6" s="15"/>
      <c r="D6" s="15"/>
      <c r="E6" s="15"/>
      <c r="F6" s="15"/>
      <c r="G6" s="15"/>
      <c r="H6" s="16"/>
    </row>
    <row r="7" spans="2:8">
      <c r="B7" s="17" t="s">
        <v>6</v>
      </c>
      <c r="C7" s="18"/>
      <c r="D7" s="18"/>
      <c r="E7" s="18"/>
      <c r="F7" s="18"/>
      <c r="G7" s="18"/>
      <c r="H7" s="19"/>
    </row>
    <row r="8" ht="15.75" customHeight="1" spans="2:8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8">
      <c r="B9" s="25" t="s">
        <v>9</v>
      </c>
      <c r="C9" s="21"/>
      <c r="D9" s="26" t="s">
        <v>10</v>
      </c>
      <c r="E9" s="26"/>
      <c r="F9" s="27" t="s">
        <v>122</v>
      </c>
      <c r="G9" s="28" t="s">
        <v>12</v>
      </c>
      <c r="H9" s="29">
        <v>46289</v>
      </c>
    </row>
    <row r="10" spans="2:8">
      <c r="B10" s="20" t="s">
        <v>13</v>
      </c>
      <c r="C10" s="21"/>
      <c r="D10" s="26" t="s">
        <v>14</v>
      </c>
      <c r="E10" s="26"/>
      <c r="F10" s="27" t="s">
        <v>122</v>
      </c>
      <c r="G10" s="28" t="s">
        <v>12</v>
      </c>
      <c r="H10" s="29">
        <v>46289</v>
      </c>
    </row>
    <row r="11" spans="2:8">
      <c r="B11" s="20" t="s">
        <v>15</v>
      </c>
      <c r="C11" s="21"/>
      <c r="D11" s="26" t="s">
        <v>16</v>
      </c>
      <c r="E11" s="26"/>
      <c r="F11" s="30"/>
      <c r="G11" s="31" t="s">
        <v>12</v>
      </c>
      <c r="H11" s="29"/>
    </row>
    <row r="12" spans="2:8">
      <c r="B12" s="20" t="s">
        <v>17</v>
      </c>
      <c r="C12" s="21"/>
      <c r="D12" s="26" t="s">
        <v>18</v>
      </c>
      <c r="E12" s="26"/>
      <c r="F12" s="32" t="s">
        <v>123</v>
      </c>
      <c r="G12" s="31" t="s">
        <v>12</v>
      </c>
      <c r="H12" s="29">
        <v>46288</v>
      </c>
    </row>
    <row r="13" spans="2:8">
      <c r="B13" s="20" t="s">
        <v>20</v>
      </c>
      <c r="C13" s="21"/>
      <c r="D13" s="26" t="s">
        <v>21</v>
      </c>
      <c r="E13" s="26"/>
      <c r="F13" s="33"/>
      <c r="G13" s="34" t="s">
        <v>12</v>
      </c>
      <c r="H13" s="29"/>
    </row>
    <row r="14" spans="2:8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8">
      <c r="B15" s="37" t="s">
        <v>26</v>
      </c>
      <c r="C15" s="38"/>
      <c r="D15" s="38" t="s">
        <v>27</v>
      </c>
      <c r="E15" s="38"/>
      <c r="F15" s="38" t="s">
        <v>28</v>
      </c>
      <c r="G15" s="39" t="s">
        <v>106</v>
      </c>
      <c r="H15" s="40"/>
    </row>
    <row r="16" ht="3.75" customHeight="1" spans="2:8">
      <c r="B16" s="41"/>
      <c r="H16" s="42"/>
    </row>
    <row r="17" ht="39" spans="2:13">
      <c r="B17" s="43" t="s">
        <v>30</v>
      </c>
      <c r="C17" s="44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M17" t="s">
        <v>37</v>
      </c>
    </row>
    <row r="18" customHeight="1" spans="2:13">
      <c r="B18" s="47">
        <v>1</v>
      </c>
      <c r="C18" s="48" t="s">
        <v>124</v>
      </c>
      <c r="D18" s="49">
        <v>84663020</v>
      </c>
      <c r="E18" s="50" t="s">
        <v>39</v>
      </c>
      <c r="F18" s="51">
        <v>2</v>
      </c>
      <c r="G18" s="52">
        <v>15000</v>
      </c>
      <c r="H18" s="53">
        <f>SUM(F18*G18)</f>
        <v>30000</v>
      </c>
    </row>
    <row r="19" spans="2:13">
      <c r="B19" s="54"/>
      <c r="C19" s="55" t="s">
        <v>125</v>
      </c>
      <c r="D19" s="56"/>
      <c r="E19" s="50"/>
      <c r="F19" s="51"/>
      <c r="G19" s="57"/>
      <c r="H19" s="53"/>
    </row>
    <row r="20" customHeight="1" spans="2:13">
      <c r="B20" s="54"/>
      <c r="C20" s="32"/>
      <c r="D20" s="58"/>
      <c r="E20" s="50"/>
      <c r="F20" s="51"/>
      <c r="G20" s="57"/>
      <c r="H20" s="53"/>
      <c r="L20" s="59"/>
    </row>
    <row r="21" customHeight="1" spans="2:13">
      <c r="B21" s="54"/>
      <c r="C21" s="60"/>
      <c r="D21" s="61"/>
      <c r="E21" s="50"/>
      <c r="F21" s="51"/>
      <c r="G21" s="57"/>
      <c r="H21" s="53"/>
      <c r="L21" s="59"/>
    </row>
    <row r="22" spans="2:13">
      <c r="B22" s="62"/>
      <c r="C22" s="32"/>
      <c r="D22" s="58"/>
      <c r="E22" s="50"/>
      <c r="F22" s="51"/>
      <c r="G22" s="57"/>
      <c r="H22" s="53"/>
    </row>
    <row r="23" customHeight="1" spans="2:13">
      <c r="B23" s="62"/>
      <c r="C23" s="60"/>
      <c r="D23" s="56"/>
      <c r="E23" s="50"/>
      <c r="F23" s="51"/>
      <c r="G23" s="57"/>
      <c r="H23" s="53"/>
    </row>
    <row r="24" spans="2:13">
      <c r="B24" s="62"/>
      <c r="C24" s="32"/>
      <c r="D24" s="63"/>
      <c r="E24" s="50"/>
      <c r="F24" s="51"/>
      <c r="G24" s="57"/>
      <c r="H24" s="53"/>
    </row>
    <row r="25" spans="2:13">
      <c r="B25" s="62"/>
      <c r="C25" s="64"/>
      <c r="D25" s="63"/>
      <c r="E25" s="50"/>
      <c r="F25" s="51"/>
      <c r="G25" s="57"/>
      <c r="H25" s="53"/>
    </row>
    <row r="26" spans="2:13">
      <c r="B26" s="62"/>
      <c r="C26" s="32"/>
      <c r="D26" s="63"/>
      <c r="E26" s="50"/>
      <c r="F26" s="51"/>
      <c r="G26" s="57"/>
      <c r="H26" s="53"/>
    </row>
    <row r="27" spans="2:13">
      <c r="B27" s="62"/>
      <c r="C27" s="65"/>
      <c r="D27" s="27"/>
      <c r="E27" s="27"/>
      <c r="F27" s="66"/>
      <c r="G27" s="57"/>
      <c r="H27" s="53"/>
    </row>
    <row r="28" spans="2:13">
      <c r="B28" s="62"/>
      <c r="C28" s="32"/>
      <c r="D28" s="63"/>
      <c r="E28" s="50"/>
      <c r="F28" s="51"/>
      <c r="G28" s="57"/>
      <c r="H28" s="53"/>
    </row>
    <row r="29" spans="2:13">
      <c r="B29" s="62"/>
      <c r="C29" s="65"/>
      <c r="D29" s="27"/>
      <c r="E29" s="27"/>
      <c r="F29" s="66"/>
      <c r="G29" s="57"/>
      <c r="H29" s="53"/>
    </row>
    <row r="30" customHeight="1" spans="2:13">
      <c r="B30" s="62"/>
      <c r="C30" s="67"/>
      <c r="D30" s="63"/>
      <c r="E30" s="50"/>
      <c r="F30" s="51"/>
      <c r="G30" s="68"/>
      <c r="H30" s="69"/>
    </row>
    <row r="31" customHeight="1" spans="2:13">
      <c r="B31" s="20"/>
      <c r="C31" s="65"/>
      <c r="D31" s="21"/>
      <c r="E31" s="21"/>
      <c r="F31" s="66"/>
      <c r="G31" s="70"/>
      <c r="H31" s="69"/>
    </row>
    <row r="32" customHeight="1" spans="2:13">
      <c r="B32" s="62"/>
      <c r="C32" s="32"/>
      <c r="D32" s="63"/>
      <c r="E32" s="50"/>
      <c r="F32" s="51"/>
      <c r="G32" s="70"/>
      <c r="H32" s="69"/>
    </row>
    <row r="33" customHeight="1" spans="2:9">
      <c r="B33" s="20"/>
      <c r="C33" s="65"/>
      <c r="D33" s="21"/>
      <c r="E33" s="21"/>
      <c r="F33" s="66"/>
      <c r="G33" s="70"/>
      <c r="H33" s="69"/>
    </row>
    <row r="34" customHeight="1" spans="2:9">
      <c r="B34" s="71" t="s">
        <v>42</v>
      </c>
      <c r="C34" s="72"/>
      <c r="D34" s="66" t="s">
        <v>43</v>
      </c>
      <c r="E34" s="73"/>
      <c r="F34" s="27">
        <f>SUM(F18:F33)</f>
        <v>2</v>
      </c>
      <c r="G34" s="21"/>
      <c r="H34" s="74"/>
    </row>
    <row r="35" spans="2:9">
      <c r="B35" s="75"/>
      <c r="C35" s="76"/>
      <c r="D35" s="76"/>
      <c r="E35" s="77"/>
      <c r="F35" s="26" t="s">
        <v>44</v>
      </c>
      <c r="G35" s="26"/>
      <c r="H35" s="78">
        <f>SUM(H18:H34)</f>
        <v>30000</v>
      </c>
    </row>
    <row r="36" spans="2:9">
      <c r="B36" s="79" t="s">
        <v>45</v>
      </c>
      <c r="C36" s="80"/>
      <c r="E36" s="81"/>
      <c r="F36" s="21" t="s">
        <v>46</v>
      </c>
      <c r="G36" s="82">
        <v>0.09</v>
      </c>
      <c r="H36" s="78">
        <f>SUM(H35*G36)</f>
        <v>2700</v>
      </c>
    </row>
    <row r="37" spans="2:9">
      <c r="B37" s="83" t="s">
        <v>47</v>
      </c>
      <c r="C37" s="84"/>
      <c r="E37" s="81"/>
      <c r="F37" s="21" t="s">
        <v>48</v>
      </c>
      <c r="G37" s="82">
        <v>0.09</v>
      </c>
      <c r="H37" s="78">
        <f>SUM(H35*G37)</f>
        <v>2700</v>
      </c>
    </row>
    <row r="38" spans="2:9">
      <c r="B38" s="83" t="s">
        <v>49</v>
      </c>
      <c r="C38" s="84"/>
      <c r="E38" s="81"/>
      <c r="F38" s="21" t="s">
        <v>50</v>
      </c>
      <c r="G38" s="82">
        <v>0.18</v>
      </c>
      <c r="H38" s="85" t="s">
        <v>51</v>
      </c>
    </row>
    <row r="39" spans="2:9">
      <c r="B39" s="83" t="s">
        <v>52</v>
      </c>
      <c r="C39" s="84"/>
      <c r="E39" s="81"/>
      <c r="F39" s="86" t="s">
        <v>53</v>
      </c>
      <c r="G39" s="87"/>
      <c r="H39" s="78">
        <f>SUM(H36:H38)</f>
        <v>5400</v>
      </c>
    </row>
    <row r="40" spans="2:9">
      <c r="B40" s="83" t="s">
        <v>54</v>
      </c>
      <c r="C40" s="84"/>
      <c r="E40" s="81"/>
      <c r="F40" s="88" t="s">
        <v>55</v>
      </c>
      <c r="G40" s="88"/>
      <c r="H40" s="89">
        <f>SUM(H35+H39+H42)</f>
        <v>35400</v>
      </c>
    </row>
    <row r="41" spans="2:9">
      <c r="B41" s="90"/>
      <c r="C41" s="91"/>
      <c r="D41" s="91"/>
      <c r="E41" s="92"/>
      <c r="F41" s="93" t="s">
        <v>56</v>
      </c>
      <c r="G41" s="93"/>
      <c r="H41" s="74"/>
    </row>
    <row r="42" ht="29.4" customHeight="1" spans="2:9">
      <c r="B42" s="94" t="s">
        <v>126</v>
      </c>
      <c r="C42" s="95"/>
      <c r="D42" s="95"/>
      <c r="E42" s="96"/>
      <c r="F42" s="97" t="s">
        <v>58</v>
      </c>
      <c r="G42" s="98"/>
      <c r="H42" s="99"/>
    </row>
    <row r="43" ht="27.6" customHeight="1" spans="2:9">
      <c r="B43" s="100" t="s">
        <v>59</v>
      </c>
      <c r="C43" s="101"/>
      <c r="D43" s="101"/>
      <c r="E43" s="102" t="s">
        <v>60</v>
      </c>
      <c r="F43" s="102"/>
      <c r="G43" s="102"/>
      <c r="H43" s="103"/>
    </row>
    <row r="44" ht="18.75" spans="2:9">
      <c r="B44" s="104" t="s">
        <v>61</v>
      </c>
      <c r="E44" s="105" t="s">
        <v>62</v>
      </c>
      <c r="F44" s="105"/>
      <c r="G44" s="105"/>
      <c r="H44" s="106"/>
      <c r="I44" s="107"/>
    </row>
    <row r="45" ht="18.75" spans="2:9">
      <c r="B45" s="108" t="s">
        <v>63</v>
      </c>
      <c r="C45" s="109"/>
      <c r="D45" s="110"/>
      <c r="E45" s="110"/>
      <c r="F45" s="111"/>
      <c r="G45" s="111"/>
      <c r="H45" s="42"/>
    </row>
    <row r="46" spans="2:9">
      <c r="B46" s="112" t="s">
        <v>64</v>
      </c>
      <c r="C46" s="113"/>
      <c r="D46" s="113"/>
      <c r="E46" s="113"/>
      <c r="F46" s="114"/>
      <c r="G46" s="111"/>
      <c r="H46" s="42"/>
    </row>
    <row r="47" spans="2:9">
      <c r="B47" s="112" t="s">
        <v>65</v>
      </c>
      <c r="C47" s="113"/>
      <c r="D47" s="113"/>
      <c r="E47" s="113"/>
      <c r="F47" s="114"/>
      <c r="G47" s="111"/>
      <c r="H47" s="42"/>
    </row>
    <row r="48" spans="2:9">
      <c r="B48" s="41"/>
      <c r="F48" s="111"/>
      <c r="G48" s="111"/>
      <c r="H48" s="42"/>
    </row>
    <row r="49" ht="15.75" spans="2:24">
      <c r="B49" s="115" t="s">
        <v>66</v>
      </c>
      <c r="C49" s="116"/>
      <c r="D49" s="116"/>
      <c r="E49" s="116"/>
      <c r="F49" s="116"/>
      <c r="G49" s="116"/>
      <c r="H49" s="117" t="s">
        <v>67</v>
      </c>
    </row>
    <row r="50" spans="2:24">
      <c r="H50" s="118"/>
    </row>
    <row r="51" ht="15.75" customHeight="1" spans="2:24">
      <c r="B51" s="1" t="s">
        <v>68</v>
      </c>
      <c r="C51" s="1"/>
      <c r="D51" s="1"/>
      <c r="E51" s="1"/>
      <c r="F51" s="1"/>
      <c r="G51" s="1"/>
      <c r="H51" s="1"/>
    </row>
    <row r="52" ht="21" spans="2:24">
      <c r="B52" s="2" t="s">
        <v>1</v>
      </c>
      <c r="C52" s="3"/>
      <c r="D52" s="3"/>
      <c r="E52" s="3"/>
      <c r="F52" s="3"/>
      <c r="G52" s="3"/>
      <c r="H52" s="4"/>
    </row>
    <row r="53" ht="28.5" spans="2:24">
      <c r="B53" s="5" t="s">
        <v>2</v>
      </c>
      <c r="C53" s="6"/>
      <c r="D53" s="6"/>
      <c r="E53" s="6"/>
      <c r="F53" s="6"/>
      <c r="G53" s="6"/>
      <c r="H53" s="7"/>
    </row>
    <row r="54" spans="2:24">
      <c r="B54" s="8" t="s">
        <v>3</v>
      </c>
      <c r="C54" s="9"/>
      <c r="D54" s="9"/>
      <c r="E54" s="9"/>
      <c r="F54" s="9"/>
      <c r="G54" s="9"/>
      <c r="H54" s="10"/>
    </row>
    <row r="55" ht="21.75" spans="2:24">
      <c r="B55" s="11" t="s">
        <v>4</v>
      </c>
      <c r="C55" s="12"/>
      <c r="D55" s="12"/>
      <c r="E55" s="12"/>
      <c r="F55" s="12"/>
      <c r="G55" s="12"/>
      <c r="H55" s="13"/>
    </row>
    <row r="56" spans="2:24">
      <c r="B56" s="14" t="s">
        <v>5</v>
      </c>
      <c r="C56" s="15"/>
      <c r="D56" s="15"/>
      <c r="E56" s="15"/>
      <c r="F56" s="15"/>
      <c r="G56" s="15"/>
      <c r="H56" s="16"/>
    </row>
    <row r="57" spans="2:24">
      <c r="B57" s="17" t="s">
        <v>6</v>
      </c>
      <c r="C57" s="18"/>
      <c r="D57" s="18"/>
      <c r="E57" s="18"/>
      <c r="F57" s="18"/>
      <c r="G57" s="18"/>
      <c r="H57" s="19"/>
      <c r="X57" s="119"/>
    </row>
    <row r="58" ht="15.75" customHeight="1" spans="2:24">
      <c r="B58" s="20" t="s">
        <v>7</v>
      </c>
      <c r="C58" s="21"/>
      <c r="D58" s="22" t="s">
        <v>8</v>
      </c>
      <c r="E58" s="23"/>
      <c r="F58" s="23"/>
      <c r="G58" s="23"/>
      <c r="H58" s="24"/>
    </row>
    <row r="59" ht="21" spans="2:24">
      <c r="B59" s="25" t="s">
        <v>9</v>
      </c>
      <c r="C59" s="21"/>
      <c r="D59" s="26" t="s">
        <v>10</v>
      </c>
      <c r="E59" s="26"/>
      <c r="F59" s="27" t="s">
        <v>122</v>
      </c>
      <c r="G59" s="28" t="s">
        <v>12</v>
      </c>
      <c r="H59" s="29">
        <v>46289</v>
      </c>
    </row>
    <row r="60" spans="2:24">
      <c r="B60" s="20" t="s">
        <v>13</v>
      </c>
      <c r="C60" s="21"/>
      <c r="D60" s="26" t="s">
        <v>14</v>
      </c>
      <c r="E60" s="26"/>
      <c r="F60" s="27" t="s">
        <v>122</v>
      </c>
      <c r="G60" s="28" t="s">
        <v>12</v>
      </c>
      <c r="H60" s="29">
        <v>46289</v>
      </c>
    </row>
    <row r="61" spans="2:24">
      <c r="B61" s="20" t="s">
        <v>15</v>
      </c>
      <c r="C61" s="21"/>
      <c r="D61" s="26" t="s">
        <v>16</v>
      </c>
      <c r="E61" s="26"/>
      <c r="F61" s="30"/>
      <c r="G61" s="31" t="s">
        <v>12</v>
      </c>
      <c r="H61" s="29"/>
    </row>
    <row r="62" spans="2:24">
      <c r="B62" s="20" t="s">
        <v>17</v>
      </c>
      <c r="C62" s="21"/>
      <c r="D62" s="26" t="s">
        <v>18</v>
      </c>
      <c r="E62" s="26"/>
      <c r="F62" s="32" t="s">
        <v>123</v>
      </c>
      <c r="G62" s="31" t="s">
        <v>12</v>
      </c>
      <c r="H62" s="29">
        <v>46288</v>
      </c>
    </row>
    <row r="63" spans="2:24">
      <c r="B63" s="20" t="s">
        <v>20</v>
      </c>
      <c r="C63" s="21"/>
      <c r="D63" s="26" t="s">
        <v>21</v>
      </c>
      <c r="E63" s="26"/>
      <c r="F63" s="33"/>
      <c r="G63" s="34" t="s">
        <v>12</v>
      </c>
      <c r="H63" s="29"/>
    </row>
    <row r="64" spans="2:24">
      <c r="B64" s="35" t="s">
        <v>22</v>
      </c>
      <c r="C64" s="26"/>
      <c r="D64" s="26" t="s">
        <v>23</v>
      </c>
      <c r="E64" s="26"/>
      <c r="F64" s="21" t="s">
        <v>24</v>
      </c>
      <c r="G64" s="28" t="s">
        <v>25</v>
      </c>
      <c r="H64" s="36"/>
    </row>
    <row r="65" ht="15.75" spans="2:8">
      <c r="B65" s="37" t="s">
        <v>26</v>
      </c>
      <c r="C65" s="38"/>
      <c r="D65" s="38" t="s">
        <v>27</v>
      </c>
      <c r="E65" s="38"/>
      <c r="F65" s="38" t="s">
        <v>28</v>
      </c>
      <c r="G65" s="39" t="s">
        <v>106</v>
      </c>
      <c r="H65" s="40"/>
    </row>
    <row r="66" ht="4.5" customHeight="1" spans="2:8">
      <c r="B66" s="41"/>
      <c r="H66" s="42"/>
    </row>
    <row r="67" ht="39" spans="2:8">
      <c r="B67" s="43" t="s">
        <v>30</v>
      </c>
      <c r="C67" s="44" t="s">
        <v>31</v>
      </c>
      <c r="D67" s="45" t="s">
        <v>32</v>
      </c>
      <c r="E67" s="44" t="s">
        <v>33</v>
      </c>
      <c r="F67" s="44" t="s">
        <v>34</v>
      </c>
      <c r="G67" s="44" t="s">
        <v>35</v>
      </c>
      <c r="H67" s="46" t="s">
        <v>36</v>
      </c>
    </row>
    <row r="68" customHeight="1" spans="2:8">
      <c r="B68" s="47">
        <v>1</v>
      </c>
      <c r="C68" s="48" t="s">
        <v>124</v>
      </c>
      <c r="D68" s="49">
        <v>84663020</v>
      </c>
      <c r="E68" s="50" t="s">
        <v>39</v>
      </c>
      <c r="F68" s="51">
        <v>2</v>
      </c>
      <c r="G68" s="52">
        <v>15000</v>
      </c>
      <c r="H68" s="53">
        <f>SUM(F68*G68)</f>
        <v>30000</v>
      </c>
    </row>
    <row r="69" spans="2:8">
      <c r="B69" s="54"/>
      <c r="C69" s="55" t="s">
        <v>125</v>
      </c>
      <c r="D69" s="56"/>
      <c r="E69" s="50"/>
      <c r="F69" s="51"/>
      <c r="G69" s="57"/>
      <c r="H69" s="53"/>
    </row>
    <row r="70" customHeight="1" spans="2:8">
      <c r="B70" s="54"/>
      <c r="C70" s="32"/>
      <c r="D70" s="58"/>
      <c r="E70" s="50"/>
      <c r="F70" s="51"/>
      <c r="G70" s="57"/>
      <c r="H70" s="53"/>
    </row>
    <row r="71" spans="2:8">
      <c r="B71" s="54"/>
      <c r="C71" s="60"/>
      <c r="D71" s="61"/>
      <c r="E71" s="50"/>
      <c r="F71" s="51"/>
      <c r="G71" s="57"/>
      <c r="H71" s="53"/>
    </row>
    <row r="72" customHeight="1" spans="2:8">
      <c r="B72" s="62"/>
      <c r="C72" s="32"/>
      <c r="D72" s="58"/>
      <c r="E72" s="50"/>
      <c r="F72" s="51"/>
      <c r="G72" s="57"/>
      <c r="H72" s="53"/>
    </row>
    <row r="73" spans="2:8">
      <c r="B73" s="62"/>
      <c r="C73" s="60"/>
      <c r="D73" s="56"/>
      <c r="E73" s="50"/>
      <c r="F73" s="51"/>
      <c r="G73" s="57"/>
      <c r="H73" s="53"/>
    </row>
    <row r="74" spans="2:8">
      <c r="B74" s="62"/>
      <c r="C74" s="32"/>
      <c r="D74" s="63"/>
      <c r="E74" s="50"/>
      <c r="F74" s="51"/>
      <c r="G74" s="57"/>
      <c r="H74" s="53"/>
    </row>
    <row r="75" spans="2:8">
      <c r="B75" s="62"/>
      <c r="C75" s="64"/>
      <c r="D75" s="63"/>
      <c r="E75" s="50"/>
      <c r="F75" s="51"/>
      <c r="G75" s="57"/>
      <c r="H75" s="53"/>
    </row>
    <row r="76" spans="2:8">
      <c r="B76" s="62"/>
      <c r="C76" s="32"/>
      <c r="D76" s="63"/>
      <c r="E76" s="50"/>
      <c r="F76" s="51"/>
      <c r="G76" s="57"/>
      <c r="H76" s="53"/>
    </row>
    <row r="77" spans="2:8">
      <c r="B77" s="62"/>
      <c r="C77" s="65"/>
      <c r="D77" s="27"/>
      <c r="E77" s="27"/>
      <c r="F77" s="66"/>
      <c r="G77" s="57"/>
      <c r="H77" s="53"/>
    </row>
    <row r="78" spans="2:8">
      <c r="B78" s="62"/>
      <c r="C78" s="32"/>
      <c r="D78" s="63"/>
      <c r="E78" s="50"/>
      <c r="F78" s="51"/>
      <c r="G78" s="57"/>
      <c r="H78" s="53"/>
    </row>
    <row r="79" spans="2:8">
      <c r="B79" s="62"/>
      <c r="C79" s="65"/>
      <c r="D79" s="27"/>
      <c r="E79" s="27"/>
      <c r="F79" s="66"/>
      <c r="G79" s="57"/>
      <c r="H79" s="53"/>
    </row>
    <row r="80" spans="2:8">
      <c r="B80" s="62"/>
      <c r="C80" s="67"/>
      <c r="D80" s="63"/>
      <c r="E80" s="50"/>
      <c r="F80" s="51"/>
      <c r="G80" s="68"/>
      <c r="H80" s="69"/>
    </row>
    <row r="81" spans="2:9">
      <c r="B81" s="20"/>
      <c r="C81" s="65"/>
      <c r="D81" s="21"/>
      <c r="E81" s="21"/>
      <c r="F81" s="66"/>
      <c r="G81" s="70"/>
      <c r="H81" s="69"/>
    </row>
    <row r="82" spans="2:9">
      <c r="B82" s="62"/>
      <c r="C82" s="32"/>
      <c r="D82" s="63"/>
      <c r="E82" s="50"/>
      <c r="F82" s="51"/>
      <c r="G82" s="70"/>
      <c r="H82" s="69"/>
    </row>
    <row r="83" spans="2:9">
      <c r="B83" s="20"/>
      <c r="C83" s="65"/>
      <c r="D83" s="21"/>
      <c r="E83" s="21"/>
      <c r="F83" s="66"/>
      <c r="G83" s="70"/>
      <c r="H83" s="69"/>
    </row>
    <row r="84" ht="21" spans="2:9">
      <c r="B84" s="71" t="s">
        <v>42</v>
      </c>
      <c r="C84" s="72"/>
      <c r="D84" s="66" t="s">
        <v>43</v>
      </c>
      <c r="E84" s="73"/>
      <c r="F84" s="27">
        <f>SUM(F68:F83)</f>
        <v>2</v>
      </c>
      <c r="G84" s="21"/>
      <c r="H84" s="74"/>
    </row>
    <row r="85" spans="2:9">
      <c r="B85" s="75"/>
      <c r="C85" s="76"/>
      <c r="D85" s="76"/>
      <c r="E85" s="77"/>
      <c r="F85" s="26" t="s">
        <v>44</v>
      </c>
      <c r="G85" s="26"/>
      <c r="H85" s="78">
        <f>SUM(H68:H84)</f>
        <v>30000</v>
      </c>
    </row>
    <row r="86" spans="2:9">
      <c r="B86" s="79" t="s">
        <v>45</v>
      </c>
      <c r="C86" s="80"/>
      <c r="E86" s="81"/>
      <c r="F86" s="21" t="s">
        <v>46</v>
      </c>
      <c r="G86" s="82">
        <v>0.09</v>
      </c>
      <c r="H86" s="78">
        <f>SUM(H85*G86)</f>
        <v>2700</v>
      </c>
    </row>
    <row r="87" spans="2:9">
      <c r="B87" s="83" t="s">
        <v>47</v>
      </c>
      <c r="C87" s="84"/>
      <c r="E87" s="81"/>
      <c r="F87" s="21" t="s">
        <v>48</v>
      </c>
      <c r="G87" s="82">
        <v>0.09</v>
      </c>
      <c r="H87" s="78">
        <f>SUM(H85*G87)</f>
        <v>2700</v>
      </c>
    </row>
    <row r="88" spans="2:9">
      <c r="B88" s="83" t="s">
        <v>49</v>
      </c>
      <c r="C88" s="84"/>
      <c r="E88" s="81"/>
      <c r="F88" s="21" t="s">
        <v>50</v>
      </c>
      <c r="G88" s="82">
        <v>0.18</v>
      </c>
      <c r="H88" s="85" t="s">
        <v>51</v>
      </c>
    </row>
    <row r="89" spans="2:9">
      <c r="B89" s="83" t="s">
        <v>52</v>
      </c>
      <c r="C89" s="84"/>
      <c r="E89" s="81"/>
      <c r="F89" s="86" t="s">
        <v>53</v>
      </c>
      <c r="G89" s="87"/>
      <c r="H89" s="78">
        <f>SUM(H86:H88)</f>
        <v>5400</v>
      </c>
    </row>
    <row r="90" customHeight="1" spans="2:9">
      <c r="B90" s="83" t="s">
        <v>54</v>
      </c>
      <c r="C90" s="84"/>
      <c r="E90" s="81"/>
      <c r="F90" s="88" t="s">
        <v>55</v>
      </c>
      <c r="G90" s="88"/>
      <c r="H90" s="89">
        <f>SUM(H85+H89+H92)</f>
        <v>35400</v>
      </c>
    </row>
    <row r="91" spans="2:9">
      <c r="B91" s="90"/>
      <c r="C91" s="91"/>
      <c r="D91" s="91"/>
      <c r="E91" s="92"/>
      <c r="F91" s="93" t="s">
        <v>56</v>
      </c>
      <c r="G91" s="93"/>
      <c r="H91" s="74"/>
      <c r="I91" s="59"/>
    </row>
    <row r="92" ht="29.4" customHeight="1" spans="2:9">
      <c r="B92" s="94" t="s">
        <v>126</v>
      </c>
      <c r="C92" s="95"/>
      <c r="D92" s="95"/>
      <c r="E92" s="96"/>
      <c r="F92" s="97" t="s">
        <v>58</v>
      </c>
      <c r="G92" s="98"/>
      <c r="H92" s="99"/>
    </row>
    <row r="93" ht="29.25" customHeight="1" spans="2:9">
      <c r="B93" s="100" t="s">
        <v>59</v>
      </c>
      <c r="C93" s="101"/>
      <c r="D93" s="101"/>
      <c r="E93" s="102" t="s">
        <v>60</v>
      </c>
      <c r="F93" s="102"/>
      <c r="G93" s="102"/>
      <c r="H93" s="103"/>
    </row>
    <row r="94" ht="18.75" spans="2:9">
      <c r="B94" s="104" t="s">
        <v>61</v>
      </c>
      <c r="E94" s="105" t="s">
        <v>62</v>
      </c>
      <c r="F94" s="105"/>
      <c r="G94" s="105"/>
      <c r="H94" s="106"/>
    </row>
    <row r="95" ht="18.75" spans="2:9">
      <c r="B95" s="108" t="s">
        <v>63</v>
      </c>
      <c r="C95" s="109"/>
      <c r="D95" s="110"/>
      <c r="E95" s="110"/>
      <c r="F95" s="111"/>
      <c r="G95" s="111"/>
      <c r="H95" s="42"/>
    </row>
    <row r="96" spans="2:9">
      <c r="B96" s="112" t="s">
        <v>64</v>
      </c>
      <c r="C96" s="113"/>
      <c r="D96" s="113"/>
      <c r="E96" s="113"/>
      <c r="F96" s="114"/>
      <c r="G96" s="111"/>
      <c r="H96" s="42"/>
    </row>
    <row r="97" spans="2:8">
      <c r="B97" s="112" t="s">
        <v>65</v>
      </c>
      <c r="C97" s="113"/>
      <c r="D97" s="113"/>
      <c r="E97" s="113"/>
      <c r="F97" s="114"/>
      <c r="G97" s="111"/>
      <c r="H97" s="42"/>
    </row>
    <row r="98" spans="2:8">
      <c r="B98" s="41"/>
      <c r="F98" s="111"/>
      <c r="G98" s="111"/>
      <c r="H98" s="42"/>
    </row>
    <row r="99" ht="15.75" spans="2:8">
      <c r="B99" s="115" t="s">
        <v>66</v>
      </c>
      <c r="C99" s="116"/>
      <c r="D99" s="116"/>
      <c r="E99" s="116"/>
      <c r="F99" s="116"/>
      <c r="G99" s="116"/>
      <c r="H99" s="117" t="s">
        <v>67</v>
      </c>
    </row>
    <row r="100" spans="2:8">
      <c r="H100" s="118"/>
    </row>
    <row r="101" ht="18" customHeight="1" spans="2:8">
      <c r="B101" s="120" t="s">
        <v>69</v>
      </c>
      <c r="C101" s="120"/>
      <c r="D101" s="120"/>
      <c r="E101" s="120"/>
      <c r="F101" s="120"/>
      <c r="G101" s="120"/>
      <c r="H101" s="120"/>
    </row>
    <row r="102" ht="21" spans="2:8">
      <c r="B102" s="2" t="s">
        <v>1</v>
      </c>
      <c r="C102" s="3"/>
      <c r="D102" s="3"/>
      <c r="E102" s="3"/>
      <c r="F102" s="3"/>
      <c r="G102" s="3"/>
      <c r="H102" s="4"/>
    </row>
    <row r="103" ht="28.5" spans="2:8">
      <c r="B103" s="5" t="s">
        <v>2</v>
      </c>
      <c r="C103" s="6"/>
      <c r="D103" s="6"/>
      <c r="E103" s="6"/>
      <c r="F103" s="6"/>
      <c r="G103" s="6"/>
      <c r="H103" s="7"/>
    </row>
    <row r="104" spans="2:8">
      <c r="B104" s="8" t="s">
        <v>3</v>
      </c>
      <c r="C104" s="9"/>
      <c r="D104" s="9"/>
      <c r="E104" s="9"/>
      <c r="F104" s="9"/>
      <c r="G104" s="9"/>
      <c r="H104" s="10"/>
    </row>
    <row r="105" ht="21.75" spans="2:8">
      <c r="B105" s="11" t="s">
        <v>4</v>
      </c>
      <c r="C105" s="12"/>
      <c r="D105" s="12"/>
      <c r="E105" s="12"/>
      <c r="F105" s="12"/>
      <c r="G105" s="12"/>
      <c r="H105" s="13"/>
    </row>
    <row r="106" spans="2:8">
      <c r="B106" s="14" t="s">
        <v>5</v>
      </c>
      <c r="C106" s="15"/>
      <c r="D106" s="15"/>
      <c r="E106" s="15"/>
      <c r="F106" s="15"/>
      <c r="G106" s="15"/>
      <c r="H106" s="16"/>
    </row>
    <row r="107" spans="2:8">
      <c r="B107" s="17" t="s">
        <v>6</v>
      </c>
      <c r="C107" s="18"/>
      <c r="D107" s="18"/>
      <c r="E107" s="18"/>
      <c r="F107" s="18"/>
      <c r="G107" s="18"/>
      <c r="H107" s="19"/>
    </row>
    <row r="108" ht="15.75" customHeight="1" spans="2:8">
      <c r="B108" s="20" t="s">
        <v>7</v>
      </c>
      <c r="C108" s="21"/>
      <c r="D108" s="22" t="s">
        <v>8</v>
      </c>
      <c r="E108" s="23"/>
      <c r="F108" s="23"/>
      <c r="G108" s="23"/>
      <c r="H108" s="24"/>
    </row>
    <row r="109" ht="21" spans="2:8">
      <c r="B109" s="25" t="s">
        <v>9</v>
      </c>
      <c r="C109" s="21"/>
      <c r="D109" s="26" t="s">
        <v>10</v>
      </c>
      <c r="E109" s="26"/>
      <c r="F109" s="27" t="s">
        <v>122</v>
      </c>
      <c r="G109" s="28" t="s">
        <v>12</v>
      </c>
      <c r="H109" s="29">
        <v>46289</v>
      </c>
    </row>
    <row r="110" spans="2:8">
      <c r="B110" s="20" t="s">
        <v>13</v>
      </c>
      <c r="C110" s="21"/>
      <c r="D110" s="26" t="s">
        <v>14</v>
      </c>
      <c r="E110" s="26"/>
      <c r="F110" s="27" t="s">
        <v>122</v>
      </c>
      <c r="G110" s="28" t="s">
        <v>12</v>
      </c>
      <c r="H110" s="29">
        <v>46289</v>
      </c>
    </row>
    <row r="111" spans="2:8">
      <c r="B111" s="20" t="s">
        <v>15</v>
      </c>
      <c r="C111" s="21"/>
      <c r="D111" s="26" t="s">
        <v>16</v>
      </c>
      <c r="E111" s="26"/>
      <c r="F111" s="30"/>
      <c r="G111" s="31" t="s">
        <v>12</v>
      </c>
      <c r="H111" s="29"/>
    </row>
    <row r="112" spans="2:8">
      <c r="B112" s="20" t="s">
        <v>17</v>
      </c>
      <c r="C112" s="21"/>
      <c r="D112" s="26" t="s">
        <v>18</v>
      </c>
      <c r="E112" s="26"/>
      <c r="F112" s="32" t="s">
        <v>123</v>
      </c>
      <c r="G112" s="31" t="s">
        <v>12</v>
      </c>
      <c r="H112" s="29">
        <v>46288</v>
      </c>
    </row>
    <row r="113" spans="2:8">
      <c r="B113" s="20" t="s">
        <v>20</v>
      </c>
      <c r="C113" s="21"/>
      <c r="D113" s="26" t="s">
        <v>21</v>
      </c>
      <c r="E113" s="26"/>
      <c r="F113" s="33"/>
      <c r="G113" s="34" t="s">
        <v>12</v>
      </c>
      <c r="H113" s="29"/>
    </row>
    <row r="114" spans="2:8">
      <c r="B114" s="35" t="s">
        <v>22</v>
      </c>
      <c r="C114" s="26"/>
      <c r="D114" s="26" t="s">
        <v>23</v>
      </c>
      <c r="E114" s="26"/>
      <c r="F114" s="21" t="s">
        <v>24</v>
      </c>
      <c r="G114" s="28" t="s">
        <v>25</v>
      </c>
      <c r="H114" s="36"/>
    </row>
    <row r="115" ht="15.75" spans="2:8">
      <c r="B115" s="37" t="s">
        <v>26</v>
      </c>
      <c r="C115" s="38"/>
      <c r="D115" s="38" t="s">
        <v>27</v>
      </c>
      <c r="E115" s="38"/>
      <c r="F115" s="38" t="s">
        <v>28</v>
      </c>
      <c r="G115" s="39" t="s">
        <v>106</v>
      </c>
      <c r="H115" s="40"/>
    </row>
    <row r="116" ht="3.75" customHeight="1" spans="2:8">
      <c r="B116" s="41"/>
      <c r="H116" s="42"/>
    </row>
    <row r="117" ht="39" spans="2:8">
      <c r="B117" s="43" t="s">
        <v>30</v>
      </c>
      <c r="C117" s="44" t="s">
        <v>31</v>
      </c>
      <c r="D117" s="45" t="s">
        <v>32</v>
      </c>
      <c r="E117" s="44" t="s">
        <v>33</v>
      </c>
      <c r="F117" s="44" t="s">
        <v>34</v>
      </c>
      <c r="G117" s="44" t="s">
        <v>35</v>
      </c>
      <c r="H117" s="46" t="s">
        <v>36</v>
      </c>
    </row>
    <row r="118" customHeight="1" spans="2:8">
      <c r="B118" s="47">
        <v>1</v>
      </c>
      <c r="C118" s="48" t="s">
        <v>124</v>
      </c>
      <c r="D118" s="49">
        <v>84663020</v>
      </c>
      <c r="E118" s="50" t="s">
        <v>39</v>
      </c>
      <c r="F118" s="51">
        <v>2</v>
      </c>
      <c r="G118" s="52">
        <v>15000</v>
      </c>
      <c r="H118" s="53">
        <f>SUM(F118*G118)</f>
        <v>30000</v>
      </c>
    </row>
    <row r="119" spans="2:8">
      <c r="B119" s="54"/>
      <c r="C119" s="55" t="s">
        <v>125</v>
      </c>
      <c r="D119" s="56"/>
      <c r="E119" s="50"/>
      <c r="F119" s="51"/>
      <c r="G119" s="57"/>
      <c r="H119" s="53"/>
    </row>
    <row r="120" spans="2:8">
      <c r="B120" s="54"/>
      <c r="C120" s="32"/>
      <c r="D120" s="58"/>
      <c r="E120" s="50"/>
      <c r="F120" s="51"/>
      <c r="G120" s="57"/>
      <c r="H120" s="53"/>
    </row>
    <row r="121" spans="2:8">
      <c r="B121" s="54"/>
      <c r="C121" s="60"/>
      <c r="D121" s="61"/>
      <c r="E121" s="50"/>
      <c r="F121" s="51"/>
      <c r="G121" s="57"/>
      <c r="H121" s="53"/>
    </row>
    <row r="122" spans="2:8">
      <c r="B122" s="62"/>
      <c r="C122" s="32"/>
      <c r="D122" s="58"/>
      <c r="E122" s="50"/>
      <c r="F122" s="51"/>
      <c r="G122" s="57"/>
      <c r="H122" s="53"/>
    </row>
    <row r="123" spans="2:8">
      <c r="B123" s="62"/>
      <c r="C123" s="60"/>
      <c r="D123" s="56"/>
      <c r="E123" s="50"/>
      <c r="F123" s="51"/>
      <c r="G123" s="57"/>
      <c r="H123" s="53"/>
    </row>
    <row r="124" spans="2:8">
      <c r="B124" s="62"/>
      <c r="C124" s="32"/>
      <c r="D124" s="63"/>
      <c r="E124" s="50"/>
      <c r="F124" s="51"/>
      <c r="G124" s="57"/>
      <c r="H124" s="53"/>
    </row>
    <row r="125" spans="2:8">
      <c r="B125" s="62"/>
      <c r="C125" s="64"/>
      <c r="D125" s="63"/>
      <c r="E125" s="50"/>
      <c r="F125" s="51"/>
      <c r="G125" s="57"/>
      <c r="H125" s="53"/>
    </row>
    <row r="126" spans="2:8">
      <c r="B126" s="62"/>
      <c r="C126" s="32"/>
      <c r="D126" s="63"/>
      <c r="E126" s="50"/>
      <c r="F126" s="51"/>
      <c r="G126" s="57"/>
      <c r="H126" s="53"/>
    </row>
    <row r="127" spans="2:8">
      <c r="B127" s="62"/>
      <c r="C127" s="65"/>
      <c r="D127" s="27"/>
      <c r="E127" s="27"/>
      <c r="F127" s="66"/>
      <c r="G127" s="57"/>
      <c r="H127" s="53"/>
    </row>
    <row r="128" spans="2:8">
      <c r="B128" s="62"/>
      <c r="C128" s="32"/>
      <c r="D128" s="63"/>
      <c r="E128" s="50"/>
      <c r="F128" s="51"/>
      <c r="G128" s="57"/>
      <c r="H128" s="53"/>
    </row>
    <row r="129" spans="2:8">
      <c r="B129" s="62"/>
      <c r="C129" s="65"/>
      <c r="D129" s="27"/>
      <c r="E129" s="27"/>
      <c r="F129" s="66"/>
      <c r="G129" s="57"/>
      <c r="H129" s="53"/>
    </row>
    <row r="130" spans="2:8">
      <c r="B130" s="62"/>
      <c r="C130" s="67"/>
      <c r="D130" s="63"/>
      <c r="E130" s="50"/>
      <c r="F130" s="51"/>
      <c r="G130" s="68"/>
      <c r="H130" s="69"/>
    </row>
    <row r="131" spans="2:8">
      <c r="B131" s="20"/>
      <c r="C131" s="65"/>
      <c r="D131" s="21"/>
      <c r="E131" s="21"/>
      <c r="F131" s="66"/>
      <c r="G131" s="70"/>
      <c r="H131" s="69"/>
    </row>
    <row r="132" spans="2:8">
      <c r="B132" s="62"/>
      <c r="C132" s="32"/>
      <c r="D132" s="63"/>
      <c r="E132" s="50"/>
      <c r="F132" s="51"/>
      <c r="G132" s="70"/>
      <c r="H132" s="69"/>
    </row>
    <row r="133" spans="2:8">
      <c r="B133" s="20"/>
      <c r="C133" s="65"/>
      <c r="D133" s="21"/>
      <c r="E133" s="21"/>
      <c r="F133" s="66"/>
      <c r="G133" s="70"/>
      <c r="H133" s="69"/>
    </row>
    <row r="134" ht="21" spans="2:8">
      <c r="B134" s="71" t="s">
        <v>42</v>
      </c>
      <c r="C134" s="72"/>
      <c r="D134" s="66" t="s">
        <v>43</v>
      </c>
      <c r="E134" s="73"/>
      <c r="F134" s="27">
        <f>SUM(F118:F133)</f>
        <v>2</v>
      </c>
      <c r="G134" s="21"/>
      <c r="H134" s="74"/>
    </row>
    <row r="135" spans="2:8">
      <c r="B135" s="75"/>
      <c r="C135" s="76"/>
      <c r="D135" s="76"/>
      <c r="E135" s="77"/>
      <c r="F135" s="26" t="s">
        <v>44</v>
      </c>
      <c r="G135" s="26"/>
      <c r="H135" s="78">
        <f>SUM(H118:H134)</f>
        <v>30000</v>
      </c>
    </row>
    <row r="136" spans="2:8">
      <c r="B136" s="79" t="s">
        <v>45</v>
      </c>
      <c r="C136" s="80"/>
      <c r="E136" s="81"/>
      <c r="F136" s="21" t="s">
        <v>46</v>
      </c>
      <c r="G136" s="82">
        <v>0.09</v>
      </c>
      <c r="H136" s="78">
        <f>SUM(H135*G136)</f>
        <v>2700</v>
      </c>
    </row>
    <row r="137" spans="2:8">
      <c r="B137" s="83" t="s">
        <v>47</v>
      </c>
      <c r="C137" s="84"/>
      <c r="E137" s="81"/>
      <c r="F137" s="21" t="s">
        <v>48</v>
      </c>
      <c r="G137" s="82">
        <v>0.09</v>
      </c>
      <c r="H137" s="78">
        <f>SUM(H135*G137)</f>
        <v>2700</v>
      </c>
    </row>
    <row r="138" spans="2:8">
      <c r="B138" s="83" t="s">
        <v>49</v>
      </c>
      <c r="C138" s="84"/>
      <c r="E138" s="81"/>
      <c r="F138" s="21" t="s">
        <v>50</v>
      </c>
      <c r="G138" s="82">
        <v>0.18</v>
      </c>
      <c r="H138" s="85" t="s">
        <v>51</v>
      </c>
    </row>
    <row r="139" spans="2:8">
      <c r="B139" s="83" t="s">
        <v>52</v>
      </c>
      <c r="C139" s="84"/>
      <c r="E139" s="81"/>
      <c r="F139" s="86" t="s">
        <v>53</v>
      </c>
      <c r="G139" s="87"/>
      <c r="H139" s="78">
        <f>SUM(H136:H138)</f>
        <v>5400</v>
      </c>
    </row>
    <row r="140" spans="2:8">
      <c r="B140" s="83" t="s">
        <v>54</v>
      </c>
      <c r="C140" s="84"/>
      <c r="E140" s="81"/>
      <c r="F140" s="88" t="s">
        <v>55</v>
      </c>
      <c r="G140" s="88"/>
      <c r="H140" s="89">
        <f>SUM(H135+H139+H142)</f>
        <v>35400</v>
      </c>
    </row>
    <row r="141" spans="2:8">
      <c r="B141" s="90"/>
      <c r="C141" s="91"/>
      <c r="D141" s="91"/>
      <c r="E141" s="92"/>
      <c r="F141" s="93" t="s">
        <v>56</v>
      </c>
      <c r="G141" s="93"/>
      <c r="H141" s="74"/>
    </row>
    <row r="142" ht="27" customHeight="1" spans="2:8">
      <c r="B142" s="94" t="s">
        <v>126</v>
      </c>
      <c r="C142" s="95"/>
      <c r="D142" s="95"/>
      <c r="E142" s="96"/>
      <c r="F142" s="97" t="s">
        <v>58</v>
      </c>
      <c r="G142" s="98"/>
      <c r="H142" s="99"/>
    </row>
    <row r="143" spans="2:8">
      <c r="B143" s="100" t="s">
        <v>59</v>
      </c>
      <c r="C143" s="101"/>
      <c r="D143" s="101"/>
      <c r="E143" s="102" t="s">
        <v>60</v>
      </c>
      <c r="F143" s="102"/>
      <c r="G143" s="102"/>
      <c r="H143" s="103"/>
    </row>
    <row r="144" ht="18.75" spans="2:8">
      <c r="B144" s="104" t="s">
        <v>61</v>
      </c>
      <c r="E144" s="105" t="s">
        <v>62</v>
      </c>
      <c r="F144" s="105"/>
      <c r="G144" s="105"/>
      <c r="H144" s="106"/>
    </row>
    <row r="145" ht="18.75" spans="2:8">
      <c r="B145" s="108" t="s">
        <v>63</v>
      </c>
      <c r="C145" s="109"/>
      <c r="D145" s="110"/>
      <c r="E145" s="110"/>
      <c r="F145" s="111"/>
      <c r="G145" s="111"/>
      <c r="H145" s="42"/>
    </row>
    <row r="146" spans="2:8">
      <c r="B146" s="112" t="s">
        <v>64</v>
      </c>
      <c r="C146" s="113"/>
      <c r="D146" s="113"/>
      <c r="E146" s="113"/>
      <c r="F146" s="114"/>
      <c r="G146" s="111"/>
      <c r="H146" s="42"/>
    </row>
    <row r="147" spans="2:8">
      <c r="B147" s="112" t="s">
        <v>65</v>
      </c>
      <c r="C147" s="113"/>
      <c r="D147" s="113"/>
      <c r="E147" s="113"/>
      <c r="F147" s="114"/>
      <c r="G147" s="111"/>
      <c r="H147" s="42"/>
    </row>
    <row r="148" spans="2:8">
      <c r="B148" s="41"/>
      <c r="F148" s="111"/>
      <c r="G148" s="111"/>
      <c r="H148" s="42"/>
    </row>
    <row r="149" ht="15.75" spans="2:8">
      <c r="B149" s="115" t="s">
        <v>66</v>
      </c>
      <c r="C149" s="116"/>
      <c r="D149" s="116"/>
      <c r="E149" s="116"/>
      <c r="F149" s="116"/>
      <c r="G149" s="116"/>
      <c r="H149" s="117" t="s">
        <v>67</v>
      </c>
    </row>
  </sheetData>
  <mergeCells count="48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4:C34"/>
    <mergeCell ref="D34:E34"/>
    <mergeCell ref="F39:G39"/>
    <mergeCell ref="B42:E42"/>
    <mergeCell ref="F42:G42"/>
    <mergeCell ref="E43:H43"/>
    <mergeCell ref="E44:H44"/>
    <mergeCell ref="B51:H51"/>
    <mergeCell ref="B52:H52"/>
    <mergeCell ref="B53:H53"/>
    <mergeCell ref="B54:H54"/>
    <mergeCell ref="B55:H55"/>
    <mergeCell ref="B56:H56"/>
    <mergeCell ref="B57:H57"/>
    <mergeCell ref="D58:H58"/>
    <mergeCell ref="G64:H64"/>
    <mergeCell ref="B84:C84"/>
    <mergeCell ref="D84:E84"/>
    <mergeCell ref="F89:G89"/>
    <mergeCell ref="B92:E92"/>
    <mergeCell ref="F92:G92"/>
    <mergeCell ref="E93:H93"/>
    <mergeCell ref="E94:H94"/>
    <mergeCell ref="B101:H101"/>
    <mergeCell ref="B102:H102"/>
    <mergeCell ref="B103:H103"/>
    <mergeCell ref="B104:H104"/>
    <mergeCell ref="B105:H105"/>
    <mergeCell ref="B106:H106"/>
    <mergeCell ref="B107:H107"/>
    <mergeCell ref="D108:H108"/>
    <mergeCell ref="G114:H114"/>
    <mergeCell ref="B134:C134"/>
    <mergeCell ref="D134:E134"/>
    <mergeCell ref="F139:G139"/>
    <mergeCell ref="B142:E142"/>
    <mergeCell ref="F142:G142"/>
    <mergeCell ref="E143:H143"/>
    <mergeCell ref="E144:H144"/>
  </mergeCells>
  <pageMargins left="0.17" right="0.17" top="0.17" bottom="0.17" header="10.9" footer="0.79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149"/>
  <sheetViews>
    <sheetView workbookViewId="0">
      <selection activeCell="B98" sqref="B98:H144"/>
    </sheetView>
  </sheetViews>
  <sheetFormatPr defaultColWidth="9" defaultRowHeight="15"/>
  <cols>
    <col min="1" max="1" width="0.552380952380952" customWidth="1"/>
    <col min="2" max="2" width="3.66666666666667" customWidth="1"/>
    <col min="3" max="3" width="38.8857142857143" customWidth="1"/>
    <col min="4" max="4" width="9.55238095238095" customWidth="1"/>
    <col min="5" max="5" width="7.88571428571429" customWidth="1"/>
    <col min="6" max="6" width="15.8857142857143" customWidth="1"/>
    <col min="7" max="7" width="11.8857142857143" customWidth="1"/>
    <col min="8" max="8" width="11.6666666666667" customWidth="1"/>
    <col min="9" max="9" width="0.666666666666667" customWidth="1"/>
  </cols>
  <sheetData>
    <row r="1" ht="15.75" spans="2:8">
      <c r="B1" s="1" t="s">
        <v>0</v>
      </c>
      <c r="C1" s="1"/>
      <c r="D1" s="1"/>
      <c r="E1" s="1"/>
      <c r="F1" s="1"/>
      <c r="G1" s="1"/>
      <c r="H1" s="1"/>
    </row>
    <row r="2" ht="21" spans="2:8">
      <c r="B2" s="2" t="s">
        <v>1</v>
      </c>
      <c r="C2" s="3"/>
      <c r="D2" s="3"/>
      <c r="E2" s="3"/>
      <c r="F2" s="3"/>
      <c r="G2" s="3"/>
      <c r="H2" s="4"/>
    </row>
    <row r="3" ht="28.5" spans="2:8">
      <c r="B3" s="5" t="s">
        <v>2</v>
      </c>
      <c r="C3" s="6"/>
      <c r="D3" s="6"/>
      <c r="E3" s="6"/>
      <c r="F3" s="6"/>
      <c r="G3" s="6"/>
      <c r="H3" s="7"/>
    </row>
    <row r="4" spans="2:8">
      <c r="B4" s="8" t="s">
        <v>3</v>
      </c>
      <c r="C4" s="9"/>
      <c r="D4" s="9"/>
      <c r="E4" s="9"/>
      <c r="F4" s="9"/>
      <c r="G4" s="9"/>
      <c r="H4" s="10"/>
    </row>
    <row r="5" ht="21.75" spans="2:8">
      <c r="B5" s="11" t="s">
        <v>4</v>
      </c>
      <c r="C5" s="12"/>
      <c r="D5" s="12"/>
      <c r="E5" s="12"/>
      <c r="F5" s="12"/>
      <c r="G5" s="12"/>
      <c r="H5" s="13"/>
    </row>
    <row r="6" spans="2:8">
      <c r="B6" s="14" t="s">
        <v>5</v>
      </c>
      <c r="C6" s="15"/>
      <c r="D6" s="15"/>
      <c r="E6" s="15"/>
      <c r="F6" s="15"/>
      <c r="G6" s="15"/>
      <c r="H6" s="16"/>
    </row>
    <row r="7" spans="2:8">
      <c r="B7" s="17" t="s">
        <v>6</v>
      </c>
      <c r="C7" s="18"/>
      <c r="D7" s="18"/>
      <c r="E7" s="18"/>
      <c r="F7" s="18"/>
      <c r="G7" s="18"/>
      <c r="H7" s="19"/>
    </row>
    <row r="8" ht="15.75" customHeight="1" spans="2:8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8">
      <c r="B9" s="25" t="s">
        <v>9</v>
      </c>
      <c r="C9" s="21"/>
      <c r="D9" s="26" t="s">
        <v>10</v>
      </c>
      <c r="E9" s="26"/>
      <c r="F9" s="27" t="s">
        <v>127</v>
      </c>
      <c r="G9" s="28" t="s">
        <v>12</v>
      </c>
      <c r="H9" s="29">
        <v>46289</v>
      </c>
    </row>
    <row r="10" spans="2:8">
      <c r="B10" s="20" t="s">
        <v>13</v>
      </c>
      <c r="C10" s="21"/>
      <c r="D10" s="26" t="s">
        <v>14</v>
      </c>
      <c r="E10" s="26"/>
      <c r="F10" s="27" t="s">
        <v>127</v>
      </c>
      <c r="G10" s="28" t="s">
        <v>12</v>
      </c>
      <c r="H10" s="29">
        <v>46289</v>
      </c>
    </row>
    <row r="11" spans="2:8">
      <c r="B11" s="20" t="s">
        <v>15</v>
      </c>
      <c r="C11" s="21"/>
      <c r="D11" s="26" t="s">
        <v>16</v>
      </c>
      <c r="E11" s="26"/>
      <c r="F11" s="30"/>
      <c r="G11" s="31" t="s">
        <v>12</v>
      </c>
      <c r="H11" s="29"/>
    </row>
    <row r="12" spans="2:8">
      <c r="B12" s="20" t="s">
        <v>17</v>
      </c>
      <c r="C12" s="21"/>
      <c r="D12" s="26" t="s">
        <v>18</v>
      </c>
      <c r="E12" s="26"/>
      <c r="F12" s="32" t="s">
        <v>128</v>
      </c>
      <c r="G12" s="31" t="s">
        <v>12</v>
      </c>
      <c r="H12" s="29">
        <v>46287</v>
      </c>
    </row>
    <row r="13" spans="2:8">
      <c r="B13" s="20" t="s">
        <v>20</v>
      </c>
      <c r="C13" s="21"/>
      <c r="D13" s="26" t="s">
        <v>21</v>
      </c>
      <c r="E13" s="26"/>
      <c r="F13" s="33"/>
      <c r="G13" s="34" t="s">
        <v>12</v>
      </c>
      <c r="H13" s="29"/>
    </row>
    <row r="14" spans="2:8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8">
      <c r="B15" s="37" t="s">
        <v>26</v>
      </c>
      <c r="C15" s="38"/>
      <c r="D15" s="38" t="s">
        <v>27</v>
      </c>
      <c r="E15" s="38"/>
      <c r="F15" s="38" t="s">
        <v>28</v>
      </c>
      <c r="G15" s="39"/>
      <c r="H15" s="40"/>
    </row>
    <row r="16" ht="3.75" customHeight="1" spans="2:8">
      <c r="B16" s="41"/>
      <c r="H16" s="42"/>
    </row>
    <row r="17" ht="39" spans="2:13">
      <c r="B17" s="43" t="s">
        <v>30</v>
      </c>
      <c r="C17" s="44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M17" t="s">
        <v>37</v>
      </c>
    </row>
    <row r="18" customHeight="1" spans="2:13">
      <c r="B18" s="47">
        <v>1</v>
      </c>
      <c r="C18" s="48" t="s">
        <v>129</v>
      </c>
      <c r="D18" s="49">
        <v>82073000</v>
      </c>
      <c r="E18" s="50" t="s">
        <v>39</v>
      </c>
      <c r="F18" s="51">
        <v>1</v>
      </c>
      <c r="G18" s="52">
        <v>24720</v>
      </c>
      <c r="H18" s="53">
        <f>SUM(F18*G18)</f>
        <v>24720</v>
      </c>
    </row>
    <row r="19" spans="2:13">
      <c r="B19" s="54"/>
      <c r="C19" s="55" t="s">
        <v>130</v>
      </c>
      <c r="D19" s="56"/>
      <c r="E19" s="50"/>
      <c r="F19" s="51"/>
      <c r="G19" s="57"/>
      <c r="H19" s="53"/>
    </row>
    <row r="20" customHeight="1" spans="2:13">
      <c r="B20" s="54"/>
      <c r="C20" s="32"/>
      <c r="D20" s="58"/>
      <c r="E20" s="50"/>
      <c r="F20" s="51"/>
      <c r="G20" s="57"/>
      <c r="H20" s="53"/>
      <c r="L20" s="59"/>
    </row>
    <row r="21" customHeight="1" spans="2:13">
      <c r="B21" s="54"/>
      <c r="C21" s="60"/>
      <c r="D21" s="61"/>
      <c r="E21" s="50"/>
      <c r="F21" s="51"/>
      <c r="G21" s="57"/>
      <c r="H21" s="53"/>
      <c r="L21" s="59"/>
    </row>
    <row r="22" spans="2:13">
      <c r="B22" s="62"/>
      <c r="C22" s="32"/>
      <c r="D22" s="58"/>
      <c r="E22" s="50"/>
      <c r="F22" s="51"/>
      <c r="G22" s="57"/>
      <c r="H22" s="53"/>
    </row>
    <row r="23" customHeight="1" spans="2:13">
      <c r="B23" s="62"/>
      <c r="C23" s="60"/>
      <c r="D23" s="56"/>
      <c r="E23" s="50"/>
      <c r="F23" s="51"/>
      <c r="G23" s="57"/>
      <c r="H23" s="53"/>
    </row>
    <row r="24" spans="2:13">
      <c r="B24" s="62"/>
      <c r="C24" s="32"/>
      <c r="D24" s="63"/>
      <c r="E24" s="50"/>
      <c r="F24" s="51"/>
      <c r="G24" s="57"/>
      <c r="H24" s="53"/>
    </row>
    <row r="25" spans="2:13">
      <c r="B25" s="62"/>
      <c r="C25" s="64"/>
      <c r="D25" s="63"/>
      <c r="E25" s="50"/>
      <c r="F25" s="51"/>
      <c r="G25" s="57"/>
      <c r="H25" s="53"/>
    </row>
    <row r="26" spans="2:13">
      <c r="B26" s="62"/>
      <c r="C26" s="32"/>
      <c r="D26" s="63"/>
      <c r="E26" s="50"/>
      <c r="F26" s="51"/>
      <c r="G26" s="57"/>
      <c r="H26" s="53"/>
    </row>
    <row r="27" spans="2:13">
      <c r="B27" s="62"/>
      <c r="C27" s="65"/>
      <c r="D27" s="27"/>
      <c r="E27" s="27"/>
      <c r="F27" s="66"/>
      <c r="G27" s="57"/>
      <c r="H27" s="53"/>
    </row>
    <row r="28" spans="2:13">
      <c r="B28" s="62"/>
      <c r="C28" s="32"/>
      <c r="D28" s="63"/>
      <c r="E28" s="50"/>
      <c r="F28" s="51"/>
      <c r="G28" s="57"/>
      <c r="H28" s="53"/>
    </row>
    <row r="29" spans="2:13">
      <c r="B29" s="62"/>
      <c r="C29" s="65"/>
      <c r="D29" s="27"/>
      <c r="E29" s="27"/>
      <c r="F29" s="66"/>
      <c r="G29" s="57"/>
      <c r="H29" s="53"/>
    </row>
    <row r="30" customHeight="1" spans="2:13">
      <c r="B30" s="62"/>
      <c r="C30" s="67"/>
      <c r="D30" s="63"/>
      <c r="E30" s="50"/>
      <c r="F30" s="51"/>
      <c r="G30" s="68"/>
      <c r="H30" s="69"/>
    </row>
    <row r="31" customHeight="1" spans="2:13">
      <c r="B31" s="20"/>
      <c r="C31" s="65"/>
      <c r="D31" s="21"/>
      <c r="E31" s="21"/>
      <c r="F31" s="66"/>
      <c r="G31" s="70"/>
      <c r="H31" s="69"/>
    </row>
    <row r="32" customHeight="1" spans="2:13">
      <c r="B32" s="62"/>
      <c r="C32" s="32"/>
      <c r="D32" s="63"/>
      <c r="E32" s="50"/>
      <c r="F32" s="51"/>
      <c r="G32" s="70"/>
      <c r="H32" s="69"/>
    </row>
    <row r="33" customHeight="1" spans="2:9">
      <c r="B33" s="20"/>
      <c r="C33" s="65"/>
      <c r="D33" s="21"/>
      <c r="E33" s="21"/>
      <c r="F33" s="66"/>
      <c r="G33" s="70"/>
      <c r="H33" s="69"/>
    </row>
    <row r="34" customHeight="1" spans="2:9">
      <c r="B34" s="71" t="s">
        <v>42</v>
      </c>
      <c r="C34" s="72"/>
      <c r="D34" s="66" t="s">
        <v>43</v>
      </c>
      <c r="E34" s="73"/>
      <c r="F34" s="27">
        <f>SUM(F18:F33)</f>
        <v>1</v>
      </c>
      <c r="G34" s="21"/>
      <c r="H34" s="74"/>
    </row>
    <row r="35" spans="2:9">
      <c r="B35" s="75"/>
      <c r="C35" s="76"/>
      <c r="D35" s="76"/>
      <c r="E35" s="77"/>
      <c r="F35" s="26" t="s">
        <v>44</v>
      </c>
      <c r="G35" s="26"/>
      <c r="H35" s="78">
        <f>SUM(H18:H34)</f>
        <v>24720</v>
      </c>
    </row>
    <row r="36" spans="2:9">
      <c r="B36" s="79" t="s">
        <v>45</v>
      </c>
      <c r="C36" s="80"/>
      <c r="E36" s="81"/>
      <c r="F36" s="21" t="s">
        <v>46</v>
      </c>
      <c r="G36" s="82">
        <v>0.09</v>
      </c>
      <c r="H36" s="78">
        <f>SUM(H35*G36)</f>
        <v>2224.8</v>
      </c>
    </row>
    <row r="37" spans="2:9">
      <c r="B37" s="83" t="s">
        <v>47</v>
      </c>
      <c r="C37" s="84"/>
      <c r="E37" s="81"/>
      <c r="F37" s="21" t="s">
        <v>48</v>
      </c>
      <c r="G37" s="82">
        <v>0.09</v>
      </c>
      <c r="H37" s="78">
        <f>SUM(H35*G37)</f>
        <v>2224.8</v>
      </c>
    </row>
    <row r="38" spans="2:9">
      <c r="B38" s="83" t="s">
        <v>49</v>
      </c>
      <c r="C38" s="84"/>
      <c r="E38" s="81"/>
      <c r="F38" s="21" t="s">
        <v>50</v>
      </c>
      <c r="G38" s="82">
        <v>0.18</v>
      </c>
      <c r="H38" s="85" t="s">
        <v>51</v>
      </c>
    </row>
    <row r="39" spans="2:9">
      <c r="B39" s="83" t="s">
        <v>52</v>
      </c>
      <c r="C39" s="84"/>
      <c r="E39" s="81"/>
      <c r="F39" s="86" t="s">
        <v>53</v>
      </c>
      <c r="G39" s="87"/>
      <c r="H39" s="78">
        <f>SUM(H36:H38)</f>
        <v>4449.6</v>
      </c>
    </row>
    <row r="40" spans="2:9">
      <c r="B40" s="83" t="s">
        <v>54</v>
      </c>
      <c r="C40" s="84"/>
      <c r="E40" s="81"/>
      <c r="F40" s="88" t="s">
        <v>55</v>
      </c>
      <c r="G40" s="88"/>
      <c r="H40" s="89">
        <f>SUM(H35+H39+H42)</f>
        <v>29170</v>
      </c>
    </row>
    <row r="41" spans="2:9">
      <c r="B41" s="90"/>
      <c r="C41" s="91"/>
      <c r="D41" s="91"/>
      <c r="E41" s="92"/>
      <c r="F41" s="93" t="s">
        <v>56</v>
      </c>
      <c r="G41" s="93"/>
      <c r="H41" s="74"/>
    </row>
    <row r="42" ht="29.4" customHeight="1" spans="2:9">
      <c r="B42" s="94" t="s">
        <v>131</v>
      </c>
      <c r="C42" s="95"/>
      <c r="D42" s="95"/>
      <c r="E42" s="96"/>
      <c r="F42" s="97" t="s">
        <v>58</v>
      </c>
      <c r="G42" s="98"/>
      <c r="H42" s="99">
        <v>0.4</v>
      </c>
    </row>
    <row r="43" ht="27.6" customHeight="1" spans="2:9">
      <c r="B43" s="100" t="s">
        <v>59</v>
      </c>
      <c r="C43" s="101"/>
      <c r="D43" s="101"/>
      <c r="E43" s="102" t="s">
        <v>60</v>
      </c>
      <c r="F43" s="102"/>
      <c r="G43" s="102"/>
      <c r="H43" s="103"/>
    </row>
    <row r="44" ht="18.75" spans="2:9">
      <c r="B44" s="104" t="s">
        <v>61</v>
      </c>
      <c r="E44" s="105" t="s">
        <v>62</v>
      </c>
      <c r="F44" s="105"/>
      <c r="G44" s="105"/>
      <c r="H44" s="106"/>
      <c r="I44" s="107"/>
    </row>
    <row r="45" ht="18.75" spans="2:9">
      <c r="B45" s="108" t="s">
        <v>63</v>
      </c>
      <c r="C45" s="109"/>
      <c r="D45" s="110"/>
      <c r="E45" s="110"/>
      <c r="F45" s="111"/>
      <c r="G45" s="111"/>
      <c r="H45" s="42"/>
    </row>
    <row r="46" spans="2:9">
      <c r="B46" s="112" t="s">
        <v>64</v>
      </c>
      <c r="C46" s="113"/>
      <c r="D46" s="113"/>
      <c r="E46" s="113"/>
      <c r="F46" s="114"/>
      <c r="G46" s="111"/>
      <c r="H46" s="42"/>
    </row>
    <row r="47" spans="2:9">
      <c r="B47" s="112" t="s">
        <v>65</v>
      </c>
      <c r="C47" s="113"/>
      <c r="D47" s="113"/>
      <c r="E47" s="113"/>
      <c r="F47" s="114"/>
      <c r="G47" s="111"/>
      <c r="H47" s="42"/>
    </row>
    <row r="48" spans="2:9">
      <c r="B48" s="41"/>
      <c r="F48" s="111"/>
      <c r="G48" s="111"/>
      <c r="H48" s="42"/>
    </row>
    <row r="49" ht="15.75" spans="2:24">
      <c r="B49" s="115" t="s">
        <v>66</v>
      </c>
      <c r="C49" s="116"/>
      <c r="D49" s="116"/>
      <c r="E49" s="116"/>
      <c r="F49" s="116"/>
      <c r="G49" s="116"/>
      <c r="H49" s="117" t="s">
        <v>67</v>
      </c>
    </row>
    <row r="50" spans="2:24">
      <c r="H50" s="118"/>
    </row>
    <row r="51" ht="15.75" customHeight="1" spans="2:24">
      <c r="B51" s="1" t="s">
        <v>68</v>
      </c>
      <c r="C51" s="1"/>
      <c r="D51" s="1"/>
      <c r="E51" s="1"/>
      <c r="F51" s="1"/>
      <c r="G51" s="1"/>
      <c r="H51" s="1"/>
    </row>
    <row r="52" ht="21" spans="2:24">
      <c r="B52" s="2" t="s">
        <v>1</v>
      </c>
      <c r="C52" s="3"/>
      <c r="D52" s="3"/>
      <c r="E52" s="3"/>
      <c r="F52" s="3"/>
      <c r="G52" s="3"/>
      <c r="H52" s="4"/>
    </row>
    <row r="53" ht="28.5" spans="2:24">
      <c r="B53" s="5" t="s">
        <v>2</v>
      </c>
      <c r="C53" s="6"/>
      <c r="D53" s="6"/>
      <c r="E53" s="6"/>
      <c r="F53" s="6"/>
      <c r="G53" s="6"/>
      <c r="H53" s="7"/>
    </row>
    <row r="54" spans="2:24">
      <c r="B54" s="8" t="s">
        <v>3</v>
      </c>
      <c r="C54" s="9"/>
      <c r="D54" s="9"/>
      <c r="E54" s="9"/>
      <c r="F54" s="9"/>
      <c r="G54" s="9"/>
      <c r="H54" s="10"/>
    </row>
    <row r="55" ht="21.75" spans="2:24">
      <c r="B55" s="11" t="s">
        <v>4</v>
      </c>
      <c r="C55" s="12"/>
      <c r="D55" s="12"/>
      <c r="E55" s="12"/>
      <c r="F55" s="12"/>
      <c r="G55" s="12"/>
      <c r="H55" s="13"/>
    </row>
    <row r="56" spans="2:24">
      <c r="B56" s="14" t="s">
        <v>5</v>
      </c>
      <c r="C56" s="15"/>
      <c r="D56" s="15"/>
      <c r="E56" s="15"/>
      <c r="F56" s="15"/>
      <c r="G56" s="15"/>
      <c r="H56" s="16"/>
    </row>
    <row r="57" spans="2:24">
      <c r="B57" s="17" t="s">
        <v>6</v>
      </c>
      <c r="C57" s="18"/>
      <c r="D57" s="18"/>
      <c r="E57" s="18"/>
      <c r="F57" s="18"/>
      <c r="G57" s="18"/>
      <c r="H57" s="19"/>
      <c r="X57" s="119"/>
    </row>
    <row r="58" ht="15.75" customHeight="1" spans="2:24">
      <c r="B58" s="20" t="s">
        <v>7</v>
      </c>
      <c r="C58" s="21"/>
      <c r="D58" s="22" t="s">
        <v>8</v>
      </c>
      <c r="E58" s="23"/>
      <c r="F58" s="23"/>
      <c r="G58" s="23"/>
      <c r="H58" s="24"/>
    </row>
    <row r="59" ht="21" spans="2:24">
      <c r="B59" s="25" t="s">
        <v>9</v>
      </c>
      <c r="C59" s="21"/>
      <c r="D59" s="26" t="s">
        <v>10</v>
      </c>
      <c r="E59" s="26"/>
      <c r="F59" s="27" t="s">
        <v>127</v>
      </c>
      <c r="G59" s="28" t="s">
        <v>12</v>
      </c>
      <c r="H59" s="29">
        <v>46289</v>
      </c>
    </row>
    <row r="60" spans="2:24">
      <c r="B60" s="20" t="s">
        <v>13</v>
      </c>
      <c r="C60" s="21"/>
      <c r="D60" s="26" t="s">
        <v>14</v>
      </c>
      <c r="E60" s="26"/>
      <c r="F60" s="27" t="s">
        <v>127</v>
      </c>
      <c r="G60" s="28" t="s">
        <v>12</v>
      </c>
      <c r="H60" s="29">
        <v>46289</v>
      </c>
    </row>
    <row r="61" spans="2:24">
      <c r="B61" s="20" t="s">
        <v>15</v>
      </c>
      <c r="C61" s="21"/>
      <c r="D61" s="26" t="s">
        <v>16</v>
      </c>
      <c r="E61" s="26"/>
      <c r="F61" s="30"/>
      <c r="G61" s="31" t="s">
        <v>12</v>
      </c>
      <c r="H61" s="29"/>
    </row>
    <row r="62" spans="2:24">
      <c r="B62" s="20" t="s">
        <v>17</v>
      </c>
      <c r="C62" s="21"/>
      <c r="D62" s="26" t="s">
        <v>18</v>
      </c>
      <c r="E62" s="26"/>
      <c r="F62" s="32" t="s">
        <v>128</v>
      </c>
      <c r="G62" s="31" t="s">
        <v>12</v>
      </c>
      <c r="H62" s="29">
        <v>46287</v>
      </c>
    </row>
    <row r="63" spans="2:24">
      <c r="B63" s="20" t="s">
        <v>20</v>
      </c>
      <c r="C63" s="21"/>
      <c r="D63" s="26" t="s">
        <v>21</v>
      </c>
      <c r="E63" s="26"/>
      <c r="F63" s="33"/>
      <c r="G63" s="34" t="s">
        <v>12</v>
      </c>
      <c r="H63" s="29"/>
    </row>
    <row r="64" spans="2:24">
      <c r="B64" s="35" t="s">
        <v>22</v>
      </c>
      <c r="C64" s="26"/>
      <c r="D64" s="26" t="s">
        <v>23</v>
      </c>
      <c r="E64" s="26"/>
      <c r="F64" s="21" t="s">
        <v>24</v>
      </c>
      <c r="G64" s="28" t="s">
        <v>25</v>
      </c>
      <c r="H64" s="36"/>
    </row>
    <row r="65" ht="15.75" spans="2:8">
      <c r="B65" s="37" t="s">
        <v>26</v>
      </c>
      <c r="C65" s="38"/>
      <c r="D65" s="38" t="s">
        <v>27</v>
      </c>
      <c r="E65" s="38"/>
      <c r="F65" s="38" t="s">
        <v>28</v>
      </c>
      <c r="G65" s="39"/>
      <c r="H65" s="40"/>
    </row>
    <row r="66" ht="4.5" customHeight="1" spans="2:8">
      <c r="B66" s="41"/>
      <c r="H66" s="42"/>
    </row>
    <row r="67" ht="39" spans="2:8">
      <c r="B67" s="43" t="s">
        <v>30</v>
      </c>
      <c r="C67" s="44" t="s">
        <v>31</v>
      </c>
      <c r="D67" s="45" t="s">
        <v>32</v>
      </c>
      <c r="E67" s="44" t="s">
        <v>33</v>
      </c>
      <c r="F67" s="44" t="s">
        <v>34</v>
      </c>
      <c r="G67" s="44" t="s">
        <v>35</v>
      </c>
      <c r="H67" s="46" t="s">
        <v>36</v>
      </c>
    </row>
    <row r="68" customHeight="1" spans="2:8">
      <c r="B68" s="47">
        <v>1</v>
      </c>
      <c r="C68" s="48" t="s">
        <v>129</v>
      </c>
      <c r="D68" s="49">
        <v>82073000</v>
      </c>
      <c r="E68" s="50" t="s">
        <v>39</v>
      </c>
      <c r="F68" s="51">
        <v>1</v>
      </c>
      <c r="G68" s="52">
        <v>24720</v>
      </c>
      <c r="H68" s="53">
        <f>SUM(F68*G68)</f>
        <v>24720</v>
      </c>
    </row>
    <row r="69" spans="2:8">
      <c r="B69" s="54"/>
      <c r="C69" s="55" t="s">
        <v>130</v>
      </c>
      <c r="D69" s="56"/>
      <c r="E69" s="50"/>
      <c r="F69" s="51"/>
      <c r="G69" s="57"/>
      <c r="H69" s="53"/>
    </row>
    <row r="70" customHeight="1" spans="2:8">
      <c r="B70" s="54"/>
      <c r="C70" s="32"/>
      <c r="D70" s="58"/>
      <c r="E70" s="50"/>
      <c r="F70" s="51"/>
      <c r="G70" s="57"/>
      <c r="H70" s="53"/>
    </row>
    <row r="71" spans="2:8">
      <c r="B71" s="54"/>
      <c r="C71" s="60"/>
      <c r="D71" s="61"/>
      <c r="E71" s="50"/>
      <c r="F71" s="51"/>
      <c r="G71" s="57"/>
      <c r="H71" s="53"/>
    </row>
    <row r="72" customHeight="1" spans="2:8">
      <c r="B72" s="62"/>
      <c r="C72" s="32"/>
      <c r="D72" s="58"/>
      <c r="E72" s="50"/>
      <c r="F72" s="51"/>
      <c r="G72" s="57"/>
      <c r="H72" s="53"/>
    </row>
    <row r="73" spans="2:8">
      <c r="B73" s="62"/>
      <c r="C73" s="60"/>
      <c r="D73" s="56"/>
      <c r="E73" s="50"/>
      <c r="F73" s="51"/>
      <c r="G73" s="57"/>
      <c r="H73" s="53"/>
    </row>
    <row r="74" spans="2:8">
      <c r="B74" s="62"/>
      <c r="C74" s="32"/>
      <c r="D74" s="63"/>
      <c r="E74" s="50"/>
      <c r="F74" s="51"/>
      <c r="G74" s="57"/>
      <c r="H74" s="53"/>
    </row>
    <row r="75" spans="2:8">
      <c r="B75" s="62"/>
      <c r="C75" s="64"/>
      <c r="D75" s="63"/>
      <c r="E75" s="50"/>
      <c r="F75" s="51"/>
      <c r="G75" s="57"/>
      <c r="H75" s="53"/>
    </row>
    <row r="76" spans="2:8">
      <c r="B76" s="62"/>
      <c r="C76" s="32"/>
      <c r="D76" s="63"/>
      <c r="E76" s="50"/>
      <c r="F76" s="51"/>
      <c r="G76" s="57"/>
      <c r="H76" s="53"/>
    </row>
    <row r="77" spans="2:8">
      <c r="B77" s="62"/>
      <c r="C77" s="65"/>
      <c r="D77" s="27"/>
      <c r="E77" s="27"/>
      <c r="F77" s="66"/>
      <c r="G77" s="57"/>
      <c r="H77" s="53"/>
    </row>
    <row r="78" spans="2:8">
      <c r="B78" s="62"/>
      <c r="C78" s="32"/>
      <c r="D78" s="63"/>
      <c r="E78" s="50"/>
      <c r="F78" s="51"/>
      <c r="G78" s="57"/>
      <c r="H78" s="53"/>
    </row>
    <row r="79" spans="2:8">
      <c r="B79" s="62"/>
      <c r="C79" s="65"/>
      <c r="D79" s="27"/>
      <c r="E79" s="27"/>
      <c r="F79" s="66"/>
      <c r="G79" s="57"/>
      <c r="H79" s="53"/>
    </row>
    <row r="80" spans="2:8">
      <c r="B80" s="62"/>
      <c r="C80" s="67"/>
      <c r="D80" s="63"/>
      <c r="E80" s="50"/>
      <c r="F80" s="51"/>
      <c r="G80" s="68"/>
      <c r="H80" s="69"/>
    </row>
    <row r="81" spans="2:9">
      <c r="B81" s="20"/>
      <c r="C81" s="65"/>
      <c r="D81" s="21"/>
      <c r="E81" s="21"/>
      <c r="F81" s="66"/>
      <c r="G81" s="70"/>
      <c r="H81" s="69"/>
    </row>
    <row r="82" spans="2:9">
      <c r="B82" s="62"/>
      <c r="C82" s="32"/>
      <c r="D82" s="63"/>
      <c r="E82" s="50"/>
      <c r="F82" s="51"/>
      <c r="G82" s="70"/>
      <c r="H82" s="69"/>
    </row>
    <row r="83" spans="2:9">
      <c r="B83" s="20"/>
      <c r="C83" s="65"/>
      <c r="D83" s="21"/>
      <c r="E83" s="21"/>
      <c r="F83" s="66"/>
      <c r="G83" s="70"/>
      <c r="H83" s="69"/>
    </row>
    <row r="84" ht="21" spans="2:9">
      <c r="B84" s="71" t="s">
        <v>42</v>
      </c>
      <c r="C84" s="72"/>
      <c r="D84" s="66" t="s">
        <v>43</v>
      </c>
      <c r="E84" s="73"/>
      <c r="F84" s="27">
        <f>SUM(F68:F83)</f>
        <v>1</v>
      </c>
      <c r="G84" s="21"/>
      <c r="H84" s="74"/>
    </row>
    <row r="85" spans="2:9">
      <c r="B85" s="75"/>
      <c r="C85" s="76"/>
      <c r="D85" s="76"/>
      <c r="E85" s="77"/>
      <c r="F85" s="26" t="s">
        <v>44</v>
      </c>
      <c r="G85" s="26"/>
      <c r="H85" s="78">
        <f>SUM(H68:H84)</f>
        <v>24720</v>
      </c>
    </row>
    <row r="86" spans="2:9">
      <c r="B86" s="79" t="s">
        <v>45</v>
      </c>
      <c r="C86" s="80"/>
      <c r="E86" s="81"/>
      <c r="F86" s="21" t="s">
        <v>46</v>
      </c>
      <c r="G86" s="82">
        <v>0.09</v>
      </c>
      <c r="H86" s="78">
        <f>SUM(H85*G86)</f>
        <v>2224.8</v>
      </c>
    </row>
    <row r="87" spans="2:9">
      <c r="B87" s="83" t="s">
        <v>47</v>
      </c>
      <c r="C87" s="84"/>
      <c r="E87" s="81"/>
      <c r="F87" s="21" t="s">
        <v>48</v>
      </c>
      <c r="G87" s="82">
        <v>0.09</v>
      </c>
      <c r="H87" s="78">
        <f>SUM(H85*G87)</f>
        <v>2224.8</v>
      </c>
    </row>
    <row r="88" spans="2:9">
      <c r="B88" s="83" t="s">
        <v>49</v>
      </c>
      <c r="C88" s="84"/>
      <c r="E88" s="81"/>
      <c r="F88" s="21" t="s">
        <v>50</v>
      </c>
      <c r="G88" s="82">
        <v>0.18</v>
      </c>
      <c r="H88" s="85" t="s">
        <v>51</v>
      </c>
    </row>
    <row r="89" spans="2:9">
      <c r="B89" s="83" t="s">
        <v>52</v>
      </c>
      <c r="C89" s="84"/>
      <c r="E89" s="81"/>
      <c r="F89" s="86" t="s">
        <v>53</v>
      </c>
      <c r="G89" s="87"/>
      <c r="H89" s="78">
        <f>SUM(H86:H88)</f>
        <v>4449.6</v>
      </c>
    </row>
    <row r="90" customHeight="1" spans="2:9">
      <c r="B90" s="83" t="s">
        <v>54</v>
      </c>
      <c r="C90" s="84"/>
      <c r="E90" s="81"/>
      <c r="F90" s="88" t="s">
        <v>55</v>
      </c>
      <c r="G90" s="88"/>
      <c r="H90" s="89">
        <f>SUM(H85+H89+H92)</f>
        <v>29170</v>
      </c>
    </row>
    <row r="91" spans="2:9">
      <c r="B91" s="90"/>
      <c r="C91" s="91"/>
      <c r="D91" s="91"/>
      <c r="E91" s="92"/>
      <c r="F91" s="93" t="s">
        <v>56</v>
      </c>
      <c r="G91" s="93"/>
      <c r="H91" s="74"/>
      <c r="I91" s="59"/>
    </row>
    <row r="92" ht="29.4" customHeight="1" spans="2:9">
      <c r="B92" s="94" t="s">
        <v>131</v>
      </c>
      <c r="C92" s="95"/>
      <c r="D92" s="95"/>
      <c r="E92" s="96"/>
      <c r="F92" s="97" t="s">
        <v>58</v>
      </c>
      <c r="G92" s="98"/>
      <c r="H92" s="99">
        <v>0.4</v>
      </c>
    </row>
    <row r="93" ht="29.25" customHeight="1" spans="2:9">
      <c r="B93" s="100" t="s">
        <v>59</v>
      </c>
      <c r="C93" s="101"/>
      <c r="D93" s="101"/>
      <c r="E93" s="102" t="s">
        <v>60</v>
      </c>
      <c r="F93" s="102"/>
      <c r="G93" s="102"/>
      <c r="H93" s="103"/>
    </row>
    <row r="94" ht="18.75" spans="2:9">
      <c r="B94" s="104" t="s">
        <v>61</v>
      </c>
      <c r="E94" s="105" t="s">
        <v>62</v>
      </c>
      <c r="F94" s="105"/>
      <c r="G94" s="105"/>
      <c r="H94" s="106"/>
    </row>
    <row r="95" ht="18.75" spans="2:9">
      <c r="B95" s="108" t="s">
        <v>63</v>
      </c>
      <c r="C95" s="109"/>
      <c r="D95" s="110"/>
      <c r="E95" s="110"/>
      <c r="F95" s="111"/>
      <c r="G95" s="111"/>
      <c r="H95" s="42"/>
    </row>
    <row r="96" spans="2:9">
      <c r="B96" s="112" t="s">
        <v>64</v>
      </c>
      <c r="C96" s="113"/>
      <c r="D96" s="113"/>
      <c r="E96" s="113"/>
      <c r="F96" s="114"/>
      <c r="G96" s="111"/>
      <c r="H96" s="42"/>
    </row>
    <row r="97" spans="2:8">
      <c r="B97" s="112" t="s">
        <v>65</v>
      </c>
      <c r="C97" s="113"/>
      <c r="D97" s="113"/>
      <c r="E97" s="113"/>
      <c r="F97" s="114"/>
      <c r="G97" s="111"/>
      <c r="H97" s="42"/>
    </row>
    <row r="98" spans="2:8">
      <c r="B98" s="41"/>
      <c r="F98" s="111"/>
      <c r="G98" s="111"/>
      <c r="H98" s="42"/>
    </row>
    <row r="99" ht="15.75" spans="2:8">
      <c r="B99" s="115" t="s">
        <v>66</v>
      </c>
      <c r="C99" s="116"/>
      <c r="D99" s="116"/>
      <c r="E99" s="116"/>
      <c r="F99" s="116"/>
      <c r="G99" s="116"/>
      <c r="H99" s="117" t="s">
        <v>67</v>
      </c>
    </row>
    <row r="100" spans="2:8">
      <c r="H100" s="118"/>
    </row>
    <row r="101" ht="18" customHeight="1" spans="2:8">
      <c r="B101" s="120" t="s">
        <v>69</v>
      </c>
      <c r="C101" s="120"/>
      <c r="D101" s="120"/>
      <c r="E101" s="120"/>
      <c r="F101" s="120"/>
      <c r="G101" s="120"/>
      <c r="H101" s="120"/>
    </row>
    <row r="102" ht="21" spans="2:8">
      <c r="B102" s="2" t="s">
        <v>1</v>
      </c>
      <c r="C102" s="3"/>
      <c r="D102" s="3"/>
      <c r="E102" s="3"/>
      <c r="F102" s="3"/>
      <c r="G102" s="3"/>
      <c r="H102" s="4"/>
    </row>
    <row r="103" ht="28.5" spans="2:8">
      <c r="B103" s="5" t="s">
        <v>2</v>
      </c>
      <c r="C103" s="6"/>
      <c r="D103" s="6"/>
      <c r="E103" s="6"/>
      <c r="F103" s="6"/>
      <c r="G103" s="6"/>
      <c r="H103" s="7"/>
    </row>
    <row r="104" spans="2:8">
      <c r="B104" s="8" t="s">
        <v>3</v>
      </c>
      <c r="C104" s="9"/>
      <c r="D104" s="9"/>
      <c r="E104" s="9"/>
      <c r="F104" s="9"/>
      <c r="G104" s="9"/>
      <c r="H104" s="10"/>
    </row>
    <row r="105" ht="21.75" spans="2:8">
      <c r="B105" s="11" t="s">
        <v>4</v>
      </c>
      <c r="C105" s="12"/>
      <c r="D105" s="12"/>
      <c r="E105" s="12"/>
      <c r="F105" s="12"/>
      <c r="G105" s="12"/>
      <c r="H105" s="13"/>
    </row>
    <row r="106" spans="2:8">
      <c r="B106" s="14" t="s">
        <v>5</v>
      </c>
      <c r="C106" s="15"/>
      <c r="D106" s="15"/>
      <c r="E106" s="15"/>
      <c r="F106" s="15"/>
      <c r="G106" s="15"/>
      <c r="H106" s="16"/>
    </row>
    <row r="107" spans="2:8">
      <c r="B107" s="17" t="s">
        <v>6</v>
      </c>
      <c r="C107" s="18"/>
      <c r="D107" s="18"/>
      <c r="E107" s="18"/>
      <c r="F107" s="18"/>
      <c r="G107" s="18"/>
      <c r="H107" s="19"/>
    </row>
    <row r="108" ht="15.75" customHeight="1" spans="2:8">
      <c r="B108" s="20" t="s">
        <v>7</v>
      </c>
      <c r="C108" s="21"/>
      <c r="D108" s="22" t="s">
        <v>8</v>
      </c>
      <c r="E108" s="23"/>
      <c r="F108" s="23"/>
      <c r="G108" s="23"/>
      <c r="H108" s="24"/>
    </row>
    <row r="109" ht="21" spans="2:8">
      <c r="B109" s="25" t="s">
        <v>9</v>
      </c>
      <c r="C109" s="21"/>
      <c r="D109" s="26" t="s">
        <v>10</v>
      </c>
      <c r="E109" s="26"/>
      <c r="F109" s="27" t="s">
        <v>127</v>
      </c>
      <c r="G109" s="28" t="s">
        <v>12</v>
      </c>
      <c r="H109" s="29">
        <v>46289</v>
      </c>
    </row>
    <row r="110" spans="2:8">
      <c r="B110" s="20" t="s">
        <v>13</v>
      </c>
      <c r="C110" s="21"/>
      <c r="D110" s="26" t="s">
        <v>14</v>
      </c>
      <c r="E110" s="26"/>
      <c r="F110" s="27" t="s">
        <v>127</v>
      </c>
      <c r="G110" s="28" t="s">
        <v>12</v>
      </c>
      <c r="H110" s="29">
        <v>46289</v>
      </c>
    </row>
    <row r="111" spans="2:8">
      <c r="B111" s="20" t="s">
        <v>15</v>
      </c>
      <c r="C111" s="21"/>
      <c r="D111" s="26" t="s">
        <v>16</v>
      </c>
      <c r="E111" s="26"/>
      <c r="F111" s="30"/>
      <c r="G111" s="31" t="s">
        <v>12</v>
      </c>
      <c r="H111" s="29"/>
    </row>
    <row r="112" spans="2:8">
      <c r="B112" s="20" t="s">
        <v>17</v>
      </c>
      <c r="C112" s="21"/>
      <c r="D112" s="26" t="s">
        <v>18</v>
      </c>
      <c r="E112" s="26"/>
      <c r="F112" s="32" t="s">
        <v>128</v>
      </c>
      <c r="G112" s="31" t="s">
        <v>12</v>
      </c>
      <c r="H112" s="29">
        <v>46287</v>
      </c>
    </row>
    <row r="113" spans="2:8">
      <c r="B113" s="20" t="s">
        <v>20</v>
      </c>
      <c r="C113" s="21"/>
      <c r="D113" s="26" t="s">
        <v>21</v>
      </c>
      <c r="E113" s="26"/>
      <c r="F113" s="33"/>
      <c r="G113" s="34" t="s">
        <v>12</v>
      </c>
      <c r="H113" s="29"/>
    </row>
    <row r="114" spans="2:8">
      <c r="B114" s="35" t="s">
        <v>22</v>
      </c>
      <c r="C114" s="26"/>
      <c r="D114" s="26" t="s">
        <v>23</v>
      </c>
      <c r="E114" s="26"/>
      <c r="F114" s="21" t="s">
        <v>24</v>
      </c>
      <c r="G114" s="28" t="s">
        <v>25</v>
      </c>
      <c r="H114" s="36"/>
    </row>
    <row r="115" ht="15.75" spans="2:8">
      <c r="B115" s="37" t="s">
        <v>26</v>
      </c>
      <c r="C115" s="38"/>
      <c r="D115" s="38" t="s">
        <v>27</v>
      </c>
      <c r="E115" s="38"/>
      <c r="F115" s="38" t="s">
        <v>28</v>
      </c>
      <c r="G115" s="39"/>
      <c r="H115" s="40"/>
    </row>
    <row r="116" ht="3.75" customHeight="1" spans="2:8">
      <c r="B116" s="41"/>
      <c r="H116" s="42"/>
    </row>
    <row r="117" ht="39" spans="2:8">
      <c r="B117" s="43" t="s">
        <v>30</v>
      </c>
      <c r="C117" s="44" t="s">
        <v>31</v>
      </c>
      <c r="D117" s="45" t="s">
        <v>32</v>
      </c>
      <c r="E117" s="44" t="s">
        <v>33</v>
      </c>
      <c r="F117" s="44" t="s">
        <v>34</v>
      </c>
      <c r="G117" s="44" t="s">
        <v>35</v>
      </c>
      <c r="H117" s="46" t="s">
        <v>36</v>
      </c>
    </row>
    <row r="118" customHeight="1" spans="2:8">
      <c r="B118" s="47">
        <v>1</v>
      </c>
      <c r="C118" s="48" t="s">
        <v>129</v>
      </c>
      <c r="D118" s="49">
        <v>82073000</v>
      </c>
      <c r="E118" s="50" t="s">
        <v>39</v>
      </c>
      <c r="F118" s="51">
        <v>1</v>
      </c>
      <c r="G118" s="52">
        <v>24720</v>
      </c>
      <c r="H118" s="53">
        <f>SUM(F118*G118)</f>
        <v>24720</v>
      </c>
    </row>
    <row r="119" spans="2:8">
      <c r="B119" s="54"/>
      <c r="C119" s="55" t="s">
        <v>130</v>
      </c>
      <c r="D119" s="56"/>
      <c r="E119" s="50"/>
      <c r="F119" s="51"/>
      <c r="G119" s="57"/>
      <c r="H119" s="53"/>
    </row>
    <row r="120" spans="2:8">
      <c r="B120" s="54"/>
      <c r="C120" s="32"/>
      <c r="D120" s="58"/>
      <c r="E120" s="50"/>
      <c r="F120" s="51"/>
      <c r="G120" s="57"/>
      <c r="H120" s="53"/>
    </row>
    <row r="121" spans="2:8">
      <c r="B121" s="54"/>
      <c r="C121" s="60"/>
      <c r="D121" s="61"/>
      <c r="E121" s="50"/>
      <c r="F121" s="51"/>
      <c r="G121" s="57"/>
      <c r="H121" s="53"/>
    </row>
    <row r="122" spans="2:8">
      <c r="B122" s="62"/>
      <c r="C122" s="32"/>
      <c r="D122" s="58"/>
      <c r="E122" s="50"/>
      <c r="F122" s="51"/>
      <c r="G122" s="57"/>
      <c r="H122" s="53"/>
    </row>
    <row r="123" spans="2:8">
      <c r="B123" s="62"/>
      <c r="C123" s="60"/>
      <c r="D123" s="56"/>
      <c r="E123" s="50"/>
      <c r="F123" s="51"/>
      <c r="G123" s="57"/>
      <c r="H123" s="53"/>
    </row>
    <row r="124" spans="2:8">
      <c r="B124" s="62"/>
      <c r="C124" s="32"/>
      <c r="D124" s="63"/>
      <c r="E124" s="50"/>
      <c r="F124" s="51"/>
      <c r="G124" s="57"/>
      <c r="H124" s="53"/>
    </row>
    <row r="125" spans="2:8">
      <c r="B125" s="62"/>
      <c r="C125" s="64"/>
      <c r="D125" s="63"/>
      <c r="E125" s="50"/>
      <c r="F125" s="51"/>
      <c r="G125" s="57"/>
      <c r="H125" s="53"/>
    </row>
    <row r="126" spans="2:8">
      <c r="B126" s="62"/>
      <c r="C126" s="32"/>
      <c r="D126" s="63"/>
      <c r="E126" s="50"/>
      <c r="F126" s="51"/>
      <c r="G126" s="57"/>
      <c r="H126" s="53"/>
    </row>
    <row r="127" spans="2:8">
      <c r="B127" s="62"/>
      <c r="C127" s="65"/>
      <c r="D127" s="27"/>
      <c r="E127" s="27"/>
      <c r="F127" s="66"/>
      <c r="G127" s="57"/>
      <c r="H127" s="53"/>
    </row>
    <row r="128" spans="2:8">
      <c r="B128" s="62"/>
      <c r="C128" s="32"/>
      <c r="D128" s="63"/>
      <c r="E128" s="50"/>
      <c r="F128" s="51"/>
      <c r="G128" s="57"/>
      <c r="H128" s="53"/>
    </row>
    <row r="129" spans="2:8">
      <c r="B129" s="62"/>
      <c r="C129" s="65"/>
      <c r="D129" s="27"/>
      <c r="E129" s="27"/>
      <c r="F129" s="66"/>
      <c r="G129" s="57"/>
      <c r="H129" s="53"/>
    </row>
    <row r="130" spans="2:8">
      <c r="B130" s="62"/>
      <c r="C130" s="67"/>
      <c r="D130" s="63"/>
      <c r="E130" s="50"/>
      <c r="F130" s="51"/>
      <c r="G130" s="68"/>
      <c r="H130" s="69"/>
    </row>
    <row r="131" spans="2:8">
      <c r="B131" s="20"/>
      <c r="C131" s="65"/>
      <c r="D131" s="21"/>
      <c r="E131" s="21"/>
      <c r="F131" s="66"/>
      <c r="G131" s="70"/>
      <c r="H131" s="69"/>
    </row>
    <row r="132" spans="2:8">
      <c r="B132" s="62"/>
      <c r="C132" s="32"/>
      <c r="D132" s="63"/>
      <c r="E132" s="50"/>
      <c r="F132" s="51"/>
      <c r="G132" s="70"/>
      <c r="H132" s="69"/>
    </row>
    <row r="133" spans="2:8">
      <c r="B133" s="20"/>
      <c r="C133" s="65"/>
      <c r="D133" s="21"/>
      <c r="E133" s="21"/>
      <c r="F133" s="66"/>
      <c r="G133" s="70"/>
      <c r="H133" s="69"/>
    </row>
    <row r="134" ht="21" spans="2:8">
      <c r="B134" s="71" t="s">
        <v>42</v>
      </c>
      <c r="C134" s="72"/>
      <c r="D134" s="66" t="s">
        <v>43</v>
      </c>
      <c r="E134" s="73"/>
      <c r="F134" s="27">
        <f>SUM(F118:F133)</f>
        <v>1</v>
      </c>
      <c r="G134" s="21"/>
      <c r="H134" s="74"/>
    </row>
    <row r="135" spans="2:8">
      <c r="B135" s="75"/>
      <c r="C135" s="76"/>
      <c r="D135" s="76"/>
      <c r="E135" s="77"/>
      <c r="F135" s="26" t="s">
        <v>44</v>
      </c>
      <c r="G135" s="26"/>
      <c r="H135" s="78">
        <f>SUM(H118:H134)</f>
        <v>24720</v>
      </c>
    </row>
    <row r="136" spans="2:8">
      <c r="B136" s="79" t="s">
        <v>45</v>
      </c>
      <c r="C136" s="80"/>
      <c r="E136" s="81"/>
      <c r="F136" s="21" t="s">
        <v>46</v>
      </c>
      <c r="G136" s="82">
        <v>0.09</v>
      </c>
      <c r="H136" s="78">
        <f>SUM(H135*G136)</f>
        <v>2224.8</v>
      </c>
    </row>
    <row r="137" spans="2:8">
      <c r="B137" s="83" t="s">
        <v>47</v>
      </c>
      <c r="C137" s="84"/>
      <c r="E137" s="81"/>
      <c r="F137" s="21" t="s">
        <v>48</v>
      </c>
      <c r="G137" s="82">
        <v>0.09</v>
      </c>
      <c r="H137" s="78">
        <f>SUM(H135*G137)</f>
        <v>2224.8</v>
      </c>
    </row>
    <row r="138" spans="2:8">
      <c r="B138" s="83" t="s">
        <v>49</v>
      </c>
      <c r="C138" s="84"/>
      <c r="E138" s="81"/>
      <c r="F138" s="21" t="s">
        <v>50</v>
      </c>
      <c r="G138" s="82">
        <v>0.18</v>
      </c>
      <c r="H138" s="85" t="s">
        <v>51</v>
      </c>
    </row>
    <row r="139" spans="2:8">
      <c r="B139" s="83" t="s">
        <v>52</v>
      </c>
      <c r="C139" s="84"/>
      <c r="E139" s="81"/>
      <c r="F139" s="86" t="s">
        <v>53</v>
      </c>
      <c r="G139" s="87"/>
      <c r="H139" s="78">
        <f>SUM(H136:H138)</f>
        <v>4449.6</v>
      </c>
    </row>
    <row r="140" spans="2:8">
      <c r="B140" s="83" t="s">
        <v>54</v>
      </c>
      <c r="C140" s="84"/>
      <c r="E140" s="81"/>
      <c r="F140" s="88" t="s">
        <v>55</v>
      </c>
      <c r="G140" s="88"/>
      <c r="H140" s="89">
        <f>SUM(H135+H139+H142)</f>
        <v>29170</v>
      </c>
    </row>
    <row r="141" spans="2:8">
      <c r="B141" s="90"/>
      <c r="C141" s="91"/>
      <c r="D141" s="91"/>
      <c r="E141" s="92"/>
      <c r="F141" s="93" t="s">
        <v>56</v>
      </c>
      <c r="G141" s="93"/>
      <c r="H141" s="74"/>
    </row>
    <row r="142" ht="27" customHeight="1" spans="2:8">
      <c r="B142" s="94" t="s">
        <v>131</v>
      </c>
      <c r="C142" s="95"/>
      <c r="D142" s="95"/>
      <c r="E142" s="96"/>
      <c r="F142" s="97" t="s">
        <v>58</v>
      </c>
      <c r="G142" s="98"/>
      <c r="H142" s="99">
        <v>0.4</v>
      </c>
    </row>
    <row r="143" spans="2:8">
      <c r="B143" s="100" t="s">
        <v>59</v>
      </c>
      <c r="C143" s="101"/>
      <c r="D143" s="101"/>
      <c r="E143" s="102" t="s">
        <v>60</v>
      </c>
      <c r="F143" s="102"/>
      <c r="G143" s="102"/>
      <c r="H143" s="103"/>
    </row>
    <row r="144" ht="18.75" spans="2:8">
      <c r="B144" s="104" t="s">
        <v>61</v>
      </c>
      <c r="E144" s="105" t="s">
        <v>62</v>
      </c>
      <c r="F144" s="105"/>
      <c r="G144" s="105"/>
      <c r="H144" s="106"/>
    </row>
    <row r="145" ht="18.75" spans="2:8">
      <c r="B145" s="108" t="s">
        <v>63</v>
      </c>
      <c r="C145" s="109"/>
      <c r="D145" s="110"/>
      <c r="E145" s="110"/>
      <c r="F145" s="111"/>
      <c r="G145" s="111"/>
      <c r="H145" s="42"/>
    </row>
    <row r="146" spans="2:8">
      <c r="B146" s="112" t="s">
        <v>64</v>
      </c>
      <c r="C146" s="113"/>
      <c r="D146" s="113"/>
      <c r="E146" s="113"/>
      <c r="F146" s="114"/>
      <c r="G146" s="111"/>
      <c r="H146" s="42"/>
    </row>
    <row r="147" spans="2:8">
      <c r="B147" s="112" t="s">
        <v>65</v>
      </c>
      <c r="C147" s="113"/>
      <c r="D147" s="113"/>
      <c r="E147" s="113"/>
      <c r="F147" s="114"/>
      <c r="G147" s="111"/>
      <c r="H147" s="42"/>
    </row>
    <row r="148" spans="2:8">
      <c r="B148" s="41"/>
      <c r="F148" s="111"/>
      <c r="G148" s="111"/>
      <c r="H148" s="42"/>
    </row>
    <row r="149" ht="15.75" spans="2:8">
      <c r="B149" s="115" t="s">
        <v>66</v>
      </c>
      <c r="C149" s="116"/>
      <c r="D149" s="116"/>
      <c r="E149" s="116"/>
      <c r="F149" s="116"/>
      <c r="G149" s="116"/>
      <c r="H149" s="117" t="s">
        <v>67</v>
      </c>
    </row>
  </sheetData>
  <mergeCells count="48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4:C34"/>
    <mergeCell ref="D34:E34"/>
    <mergeCell ref="F39:G39"/>
    <mergeCell ref="B42:E42"/>
    <mergeCell ref="F42:G42"/>
    <mergeCell ref="E43:H43"/>
    <mergeCell ref="E44:H44"/>
    <mergeCell ref="B51:H51"/>
    <mergeCell ref="B52:H52"/>
    <mergeCell ref="B53:H53"/>
    <mergeCell ref="B54:H54"/>
    <mergeCell ref="B55:H55"/>
    <mergeCell ref="B56:H56"/>
    <mergeCell ref="B57:H57"/>
    <mergeCell ref="D58:H58"/>
    <mergeCell ref="G64:H64"/>
    <mergeCell ref="B84:C84"/>
    <mergeCell ref="D84:E84"/>
    <mergeCell ref="F89:G89"/>
    <mergeCell ref="B92:E92"/>
    <mergeCell ref="F92:G92"/>
    <mergeCell ref="E93:H93"/>
    <mergeCell ref="E94:H94"/>
    <mergeCell ref="B101:H101"/>
    <mergeCell ref="B102:H102"/>
    <mergeCell ref="B103:H103"/>
    <mergeCell ref="B104:H104"/>
    <mergeCell ref="B105:H105"/>
    <mergeCell ref="B106:H106"/>
    <mergeCell ref="B107:H107"/>
    <mergeCell ref="D108:H108"/>
    <mergeCell ref="G114:H114"/>
    <mergeCell ref="B134:C134"/>
    <mergeCell ref="D134:E134"/>
    <mergeCell ref="F139:G139"/>
    <mergeCell ref="B142:E142"/>
    <mergeCell ref="F142:G142"/>
    <mergeCell ref="E143:H143"/>
    <mergeCell ref="E144:H144"/>
  </mergeCells>
  <pageMargins left="0.17" right="0.17" top="0.17" bottom="0.17" header="10.9" footer="0.79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149"/>
  <sheetViews>
    <sheetView workbookViewId="0">
      <selection activeCell="B98" sqref="B98:H144"/>
    </sheetView>
  </sheetViews>
  <sheetFormatPr defaultColWidth="9" defaultRowHeight="15"/>
  <cols>
    <col min="1" max="1" width="0.552380952380952" customWidth="1"/>
    <col min="2" max="2" width="3.66666666666667" customWidth="1"/>
    <col min="3" max="3" width="38.8857142857143" customWidth="1"/>
    <col min="4" max="4" width="9.55238095238095" customWidth="1"/>
    <col min="5" max="5" width="7.88571428571429" customWidth="1"/>
    <col min="6" max="6" width="15.8857142857143" customWidth="1"/>
    <col min="7" max="7" width="11.8857142857143" customWidth="1"/>
    <col min="8" max="8" width="11.6666666666667" customWidth="1"/>
    <col min="9" max="9" width="0.666666666666667" customWidth="1"/>
  </cols>
  <sheetData>
    <row r="1" ht="15.75" spans="2:8">
      <c r="B1" s="1" t="s">
        <v>0</v>
      </c>
      <c r="C1" s="1"/>
      <c r="D1" s="1"/>
      <c r="E1" s="1"/>
      <c r="F1" s="1"/>
      <c r="G1" s="1"/>
      <c r="H1" s="1"/>
    </row>
    <row r="2" ht="21" spans="2:8">
      <c r="B2" s="2" t="s">
        <v>1</v>
      </c>
      <c r="C2" s="3"/>
      <c r="D2" s="3"/>
      <c r="E2" s="3"/>
      <c r="F2" s="3"/>
      <c r="G2" s="3"/>
      <c r="H2" s="4"/>
    </row>
    <row r="3" ht="28.5" spans="2:8">
      <c r="B3" s="5" t="s">
        <v>2</v>
      </c>
      <c r="C3" s="6"/>
      <c r="D3" s="6"/>
      <c r="E3" s="6"/>
      <c r="F3" s="6"/>
      <c r="G3" s="6"/>
      <c r="H3" s="7"/>
    </row>
    <row r="4" spans="2:8">
      <c r="B4" s="8" t="s">
        <v>3</v>
      </c>
      <c r="C4" s="9"/>
      <c r="D4" s="9"/>
      <c r="E4" s="9"/>
      <c r="F4" s="9"/>
      <c r="G4" s="9"/>
      <c r="H4" s="10"/>
    </row>
    <row r="5" ht="21.75" spans="2:8">
      <c r="B5" s="11" t="s">
        <v>4</v>
      </c>
      <c r="C5" s="12"/>
      <c r="D5" s="12"/>
      <c r="E5" s="12"/>
      <c r="F5" s="12"/>
      <c r="G5" s="12"/>
      <c r="H5" s="13"/>
    </row>
    <row r="6" spans="2:8">
      <c r="B6" s="14" t="s">
        <v>5</v>
      </c>
      <c r="C6" s="15"/>
      <c r="D6" s="15"/>
      <c r="E6" s="15"/>
      <c r="F6" s="15"/>
      <c r="G6" s="15"/>
      <c r="H6" s="16"/>
    </row>
    <row r="7" spans="2:8">
      <c r="B7" s="17" t="s">
        <v>6</v>
      </c>
      <c r="C7" s="18"/>
      <c r="D7" s="18"/>
      <c r="E7" s="18"/>
      <c r="F7" s="18"/>
      <c r="G7" s="18"/>
      <c r="H7" s="19"/>
    </row>
    <row r="8" ht="15.75" customHeight="1" spans="2:8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8">
      <c r="B9" s="25" t="s">
        <v>9</v>
      </c>
      <c r="C9" s="21"/>
      <c r="D9" s="26" t="s">
        <v>10</v>
      </c>
      <c r="E9" s="26"/>
      <c r="F9" s="27" t="s">
        <v>132</v>
      </c>
      <c r="G9" s="28" t="s">
        <v>12</v>
      </c>
      <c r="H9" s="29">
        <v>46289</v>
      </c>
    </row>
    <row r="10" spans="2:8">
      <c r="B10" s="20" t="s">
        <v>13</v>
      </c>
      <c r="C10" s="21"/>
      <c r="D10" s="26" t="s">
        <v>14</v>
      </c>
      <c r="E10" s="26"/>
      <c r="F10" s="27" t="s">
        <v>132</v>
      </c>
      <c r="G10" s="28" t="s">
        <v>12</v>
      </c>
      <c r="H10" s="29">
        <v>46289</v>
      </c>
    </row>
    <row r="11" spans="2:8">
      <c r="B11" s="20" t="s">
        <v>15</v>
      </c>
      <c r="C11" s="21"/>
      <c r="D11" s="26" t="s">
        <v>16</v>
      </c>
      <c r="E11" s="26"/>
      <c r="F11" s="30"/>
      <c r="G11" s="31" t="s">
        <v>12</v>
      </c>
      <c r="H11" s="29"/>
    </row>
    <row r="12" spans="2:8">
      <c r="B12" s="20" t="s">
        <v>17</v>
      </c>
      <c r="C12" s="21"/>
      <c r="D12" s="26" t="s">
        <v>18</v>
      </c>
      <c r="E12" s="26"/>
      <c r="F12" s="32" t="s">
        <v>104</v>
      </c>
      <c r="G12" s="31" t="s">
        <v>12</v>
      </c>
      <c r="H12" s="29">
        <v>46287</v>
      </c>
    </row>
    <row r="13" spans="2:8">
      <c r="B13" s="20" t="s">
        <v>20</v>
      </c>
      <c r="C13" s="21"/>
      <c r="D13" s="26" t="s">
        <v>21</v>
      </c>
      <c r="E13" s="26"/>
      <c r="F13" s="33"/>
      <c r="G13" s="34" t="s">
        <v>12</v>
      </c>
      <c r="H13" s="29"/>
    </row>
    <row r="14" spans="2:8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8">
      <c r="B15" s="37" t="s">
        <v>26</v>
      </c>
      <c r="C15" s="38"/>
      <c r="D15" s="38" t="s">
        <v>27</v>
      </c>
      <c r="E15" s="38"/>
      <c r="F15" s="38" t="s">
        <v>28</v>
      </c>
      <c r="G15" s="39"/>
      <c r="H15" s="40"/>
    </row>
    <row r="16" ht="3.75" customHeight="1" spans="2:8">
      <c r="B16" s="41"/>
      <c r="H16" s="42"/>
    </row>
    <row r="17" ht="39" spans="2:13">
      <c r="B17" s="43" t="s">
        <v>30</v>
      </c>
      <c r="C17" s="44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M17" t="s">
        <v>37</v>
      </c>
    </row>
    <row r="18" customHeight="1" spans="2:13">
      <c r="B18" s="47">
        <v>1</v>
      </c>
      <c r="C18" s="48" t="s">
        <v>133</v>
      </c>
      <c r="D18" s="49">
        <v>82073000</v>
      </c>
      <c r="E18" s="50" t="s">
        <v>39</v>
      </c>
      <c r="F18" s="51">
        <v>1</v>
      </c>
      <c r="G18" s="52">
        <v>15700</v>
      </c>
      <c r="H18" s="53">
        <f>SUM(F18*G18)</f>
        <v>15700</v>
      </c>
    </row>
    <row r="19" spans="2:13">
      <c r="B19" s="54"/>
      <c r="C19" s="55" t="s">
        <v>134</v>
      </c>
      <c r="D19" s="56"/>
      <c r="E19" s="50"/>
      <c r="F19" s="51"/>
      <c r="G19" s="57"/>
      <c r="H19" s="53"/>
    </row>
    <row r="20" customHeight="1" spans="2:13">
      <c r="B20" s="54"/>
      <c r="C20" s="32"/>
      <c r="D20" s="58"/>
      <c r="E20" s="50"/>
      <c r="F20" s="51"/>
      <c r="G20" s="57"/>
      <c r="H20" s="53"/>
      <c r="L20" s="59"/>
    </row>
    <row r="21" customHeight="1" spans="2:13">
      <c r="B21" s="54"/>
      <c r="C21" s="60"/>
      <c r="D21" s="61"/>
      <c r="E21" s="50"/>
      <c r="F21" s="51"/>
      <c r="G21" s="57"/>
      <c r="H21" s="53"/>
      <c r="L21" s="59"/>
    </row>
    <row r="22" spans="2:13">
      <c r="B22" s="62"/>
      <c r="C22" s="32"/>
      <c r="D22" s="58"/>
      <c r="E22" s="50"/>
      <c r="F22" s="51"/>
      <c r="G22" s="57"/>
      <c r="H22" s="53"/>
    </row>
    <row r="23" customHeight="1" spans="2:13">
      <c r="B23" s="62"/>
      <c r="C23" s="60"/>
      <c r="D23" s="56"/>
      <c r="E23" s="50"/>
      <c r="F23" s="51"/>
      <c r="G23" s="57"/>
      <c r="H23" s="53"/>
    </row>
    <row r="24" spans="2:13">
      <c r="B24" s="62"/>
      <c r="C24" s="32"/>
      <c r="D24" s="63"/>
      <c r="E24" s="50"/>
      <c r="F24" s="51"/>
      <c r="G24" s="57"/>
      <c r="H24" s="53"/>
    </row>
    <row r="25" spans="2:13">
      <c r="B25" s="62"/>
      <c r="C25" s="64"/>
      <c r="D25" s="63"/>
      <c r="E25" s="50"/>
      <c r="F25" s="51"/>
      <c r="G25" s="57"/>
      <c r="H25" s="53"/>
    </row>
    <row r="26" spans="2:13">
      <c r="B26" s="62"/>
      <c r="C26" s="32"/>
      <c r="D26" s="63"/>
      <c r="E26" s="50"/>
      <c r="F26" s="51"/>
      <c r="G26" s="57"/>
      <c r="H26" s="53"/>
    </row>
    <row r="27" spans="2:13">
      <c r="B27" s="62"/>
      <c r="C27" s="65"/>
      <c r="D27" s="27"/>
      <c r="E27" s="27"/>
      <c r="F27" s="66"/>
      <c r="G27" s="57"/>
      <c r="H27" s="53"/>
    </row>
    <row r="28" spans="2:13">
      <c r="B28" s="62"/>
      <c r="C28" s="32"/>
      <c r="D28" s="63"/>
      <c r="E28" s="50"/>
      <c r="F28" s="51"/>
      <c r="G28" s="57"/>
      <c r="H28" s="53"/>
    </row>
    <row r="29" spans="2:13">
      <c r="B29" s="62"/>
      <c r="C29" s="65"/>
      <c r="D29" s="27"/>
      <c r="E29" s="27"/>
      <c r="F29" s="66"/>
      <c r="G29" s="57"/>
      <c r="H29" s="53"/>
    </row>
    <row r="30" customHeight="1" spans="2:13">
      <c r="B30" s="62"/>
      <c r="C30" s="67"/>
      <c r="D30" s="63"/>
      <c r="E30" s="50"/>
      <c r="F30" s="51"/>
      <c r="G30" s="68"/>
      <c r="H30" s="69"/>
    </row>
    <row r="31" customHeight="1" spans="2:13">
      <c r="B31" s="20"/>
      <c r="C31" s="65"/>
      <c r="D31" s="21"/>
      <c r="E31" s="21"/>
      <c r="F31" s="66"/>
      <c r="G31" s="70"/>
      <c r="H31" s="69"/>
    </row>
    <row r="32" customHeight="1" spans="2:13">
      <c r="B32" s="62"/>
      <c r="C32" s="32"/>
      <c r="D32" s="63"/>
      <c r="E32" s="50"/>
      <c r="F32" s="51"/>
      <c r="G32" s="70"/>
      <c r="H32" s="69"/>
    </row>
    <row r="33" customHeight="1" spans="2:9">
      <c r="B33" s="20"/>
      <c r="C33" s="65"/>
      <c r="D33" s="21"/>
      <c r="E33" s="21"/>
      <c r="F33" s="66"/>
      <c r="G33" s="70"/>
      <c r="H33" s="69"/>
    </row>
    <row r="34" customHeight="1" spans="2:9">
      <c r="B34" s="71" t="s">
        <v>42</v>
      </c>
      <c r="C34" s="72"/>
      <c r="D34" s="66" t="s">
        <v>43</v>
      </c>
      <c r="E34" s="73"/>
      <c r="F34" s="27">
        <f>SUM(F18:F33)</f>
        <v>1</v>
      </c>
      <c r="G34" s="21"/>
      <c r="H34" s="74"/>
    </row>
    <row r="35" spans="2:9">
      <c r="B35" s="75"/>
      <c r="C35" s="76"/>
      <c r="D35" s="76"/>
      <c r="E35" s="77"/>
      <c r="F35" s="26" t="s">
        <v>44</v>
      </c>
      <c r="G35" s="26"/>
      <c r="H35" s="78">
        <f>SUM(H18:H34)</f>
        <v>15700</v>
      </c>
    </row>
    <row r="36" spans="2:9">
      <c r="B36" s="79" t="s">
        <v>45</v>
      </c>
      <c r="C36" s="80"/>
      <c r="E36" s="81"/>
      <c r="F36" s="21" t="s">
        <v>46</v>
      </c>
      <c r="G36" s="82">
        <v>0.09</v>
      </c>
      <c r="H36" s="78">
        <f>SUM(H35*G36)</f>
        <v>1413</v>
      </c>
    </row>
    <row r="37" spans="2:9">
      <c r="B37" s="83" t="s">
        <v>47</v>
      </c>
      <c r="C37" s="84"/>
      <c r="E37" s="81"/>
      <c r="F37" s="21" t="s">
        <v>48</v>
      </c>
      <c r="G37" s="82">
        <v>0.09</v>
      </c>
      <c r="H37" s="78">
        <f>SUM(H35*G37)</f>
        <v>1413</v>
      </c>
    </row>
    <row r="38" spans="2:9">
      <c r="B38" s="83" t="s">
        <v>49</v>
      </c>
      <c r="C38" s="84"/>
      <c r="E38" s="81"/>
      <c r="F38" s="21" t="s">
        <v>50</v>
      </c>
      <c r="G38" s="82">
        <v>0.18</v>
      </c>
      <c r="H38" s="85" t="s">
        <v>51</v>
      </c>
    </row>
    <row r="39" spans="2:9">
      <c r="B39" s="83" t="s">
        <v>52</v>
      </c>
      <c r="C39" s="84"/>
      <c r="E39" s="81"/>
      <c r="F39" s="86" t="s">
        <v>53</v>
      </c>
      <c r="G39" s="87"/>
      <c r="H39" s="78">
        <f>SUM(H36:H38)</f>
        <v>2826</v>
      </c>
    </row>
    <row r="40" spans="2:9">
      <c r="B40" s="83" t="s">
        <v>54</v>
      </c>
      <c r="C40" s="84"/>
      <c r="E40" s="81"/>
      <c r="F40" s="88" t="s">
        <v>55</v>
      </c>
      <c r="G40" s="88"/>
      <c r="H40" s="89">
        <f>SUM(H35+H39+H42)</f>
        <v>18526</v>
      </c>
    </row>
    <row r="41" spans="2:9">
      <c r="B41" s="90"/>
      <c r="C41" s="91"/>
      <c r="D41" s="91"/>
      <c r="E41" s="92"/>
      <c r="F41" s="93" t="s">
        <v>56</v>
      </c>
      <c r="G41" s="93"/>
      <c r="H41" s="74"/>
    </row>
    <row r="42" ht="29.4" customHeight="1" spans="2:9">
      <c r="B42" s="94" t="s">
        <v>135</v>
      </c>
      <c r="C42" s="95"/>
      <c r="D42" s="95"/>
      <c r="E42" s="96"/>
      <c r="F42" s="97" t="s">
        <v>58</v>
      </c>
      <c r="G42" s="98"/>
      <c r="H42" s="99"/>
    </row>
    <row r="43" ht="27.6" customHeight="1" spans="2:9">
      <c r="B43" s="100" t="s">
        <v>59</v>
      </c>
      <c r="C43" s="101"/>
      <c r="D43" s="101"/>
      <c r="E43" s="102" t="s">
        <v>60</v>
      </c>
      <c r="F43" s="102"/>
      <c r="G43" s="102"/>
      <c r="H43" s="103"/>
    </row>
    <row r="44" ht="18.75" spans="2:9">
      <c r="B44" s="104" t="s">
        <v>61</v>
      </c>
      <c r="E44" s="105" t="s">
        <v>62</v>
      </c>
      <c r="F44" s="105"/>
      <c r="G44" s="105"/>
      <c r="H44" s="106"/>
      <c r="I44" s="107"/>
    </row>
    <row r="45" ht="18.75" spans="2:9">
      <c r="B45" s="108" t="s">
        <v>63</v>
      </c>
      <c r="C45" s="109"/>
      <c r="D45" s="110"/>
      <c r="E45" s="110"/>
      <c r="F45" s="111"/>
      <c r="G45" s="111"/>
      <c r="H45" s="42"/>
    </row>
    <row r="46" spans="2:9">
      <c r="B46" s="112" t="s">
        <v>64</v>
      </c>
      <c r="C46" s="113"/>
      <c r="D46" s="113"/>
      <c r="E46" s="113"/>
      <c r="F46" s="114"/>
      <c r="G46" s="111"/>
      <c r="H46" s="42"/>
    </row>
    <row r="47" spans="2:9">
      <c r="B47" s="112" t="s">
        <v>65</v>
      </c>
      <c r="C47" s="113"/>
      <c r="D47" s="113"/>
      <c r="E47" s="113"/>
      <c r="F47" s="114"/>
      <c r="G47" s="111"/>
      <c r="H47" s="42"/>
    </row>
    <row r="48" spans="2:9">
      <c r="B48" s="41"/>
      <c r="F48" s="111"/>
      <c r="G48" s="111"/>
      <c r="H48" s="42"/>
    </row>
    <row r="49" ht="15.75" spans="2:24">
      <c r="B49" s="115" t="s">
        <v>66</v>
      </c>
      <c r="C49" s="116"/>
      <c r="D49" s="116"/>
      <c r="E49" s="116"/>
      <c r="F49" s="116"/>
      <c r="G49" s="116"/>
      <c r="H49" s="117" t="s">
        <v>67</v>
      </c>
    </row>
    <row r="50" spans="2:24">
      <c r="H50" s="118"/>
    </row>
    <row r="51" ht="15.75" customHeight="1" spans="2:24">
      <c r="B51" s="1" t="s">
        <v>68</v>
      </c>
      <c r="C51" s="1"/>
      <c r="D51" s="1"/>
      <c r="E51" s="1"/>
      <c r="F51" s="1"/>
      <c r="G51" s="1"/>
      <c r="H51" s="1"/>
    </row>
    <row r="52" ht="21" spans="2:24">
      <c r="B52" s="2" t="s">
        <v>1</v>
      </c>
      <c r="C52" s="3"/>
      <c r="D52" s="3"/>
      <c r="E52" s="3"/>
      <c r="F52" s="3"/>
      <c r="G52" s="3"/>
      <c r="H52" s="4"/>
    </row>
    <row r="53" ht="28.5" spans="2:24">
      <c r="B53" s="5" t="s">
        <v>2</v>
      </c>
      <c r="C53" s="6"/>
      <c r="D53" s="6"/>
      <c r="E53" s="6"/>
      <c r="F53" s="6"/>
      <c r="G53" s="6"/>
      <c r="H53" s="7"/>
    </row>
    <row r="54" spans="2:24">
      <c r="B54" s="8" t="s">
        <v>3</v>
      </c>
      <c r="C54" s="9"/>
      <c r="D54" s="9"/>
      <c r="E54" s="9"/>
      <c r="F54" s="9"/>
      <c r="G54" s="9"/>
      <c r="H54" s="10"/>
    </row>
    <row r="55" ht="21.75" spans="2:24">
      <c r="B55" s="11" t="s">
        <v>4</v>
      </c>
      <c r="C55" s="12"/>
      <c r="D55" s="12"/>
      <c r="E55" s="12"/>
      <c r="F55" s="12"/>
      <c r="G55" s="12"/>
      <c r="H55" s="13"/>
    </row>
    <row r="56" spans="2:24">
      <c r="B56" s="14" t="s">
        <v>5</v>
      </c>
      <c r="C56" s="15"/>
      <c r="D56" s="15"/>
      <c r="E56" s="15"/>
      <c r="F56" s="15"/>
      <c r="G56" s="15"/>
      <c r="H56" s="16"/>
    </row>
    <row r="57" spans="2:24">
      <c r="B57" s="17" t="s">
        <v>6</v>
      </c>
      <c r="C57" s="18"/>
      <c r="D57" s="18"/>
      <c r="E57" s="18"/>
      <c r="F57" s="18"/>
      <c r="G57" s="18"/>
      <c r="H57" s="19"/>
      <c r="X57" s="119"/>
    </row>
    <row r="58" ht="15.75" customHeight="1" spans="2:24">
      <c r="B58" s="20" t="s">
        <v>7</v>
      </c>
      <c r="C58" s="21"/>
      <c r="D58" s="22" t="s">
        <v>8</v>
      </c>
      <c r="E58" s="23"/>
      <c r="F58" s="23"/>
      <c r="G58" s="23"/>
      <c r="H58" s="24"/>
    </row>
    <row r="59" ht="21" spans="2:24">
      <c r="B59" s="25" t="s">
        <v>9</v>
      </c>
      <c r="C59" s="21"/>
      <c r="D59" s="26" t="s">
        <v>10</v>
      </c>
      <c r="E59" s="26"/>
      <c r="F59" s="27" t="s">
        <v>132</v>
      </c>
      <c r="G59" s="28" t="s">
        <v>12</v>
      </c>
      <c r="H59" s="29">
        <v>46289</v>
      </c>
    </row>
    <row r="60" spans="2:24">
      <c r="B60" s="20" t="s">
        <v>13</v>
      </c>
      <c r="C60" s="21"/>
      <c r="D60" s="26" t="s">
        <v>14</v>
      </c>
      <c r="E60" s="26"/>
      <c r="F60" s="27" t="s">
        <v>132</v>
      </c>
      <c r="G60" s="28" t="s">
        <v>12</v>
      </c>
      <c r="H60" s="29">
        <v>46289</v>
      </c>
    </row>
    <row r="61" spans="2:24">
      <c r="B61" s="20" t="s">
        <v>15</v>
      </c>
      <c r="C61" s="21"/>
      <c r="D61" s="26" t="s">
        <v>16</v>
      </c>
      <c r="E61" s="26"/>
      <c r="F61" s="30"/>
      <c r="G61" s="31" t="s">
        <v>12</v>
      </c>
      <c r="H61" s="29"/>
    </row>
    <row r="62" spans="2:24">
      <c r="B62" s="20" t="s">
        <v>17</v>
      </c>
      <c r="C62" s="21"/>
      <c r="D62" s="26" t="s">
        <v>18</v>
      </c>
      <c r="E62" s="26"/>
      <c r="F62" s="32" t="s">
        <v>104</v>
      </c>
      <c r="G62" s="31" t="s">
        <v>12</v>
      </c>
      <c r="H62" s="29">
        <v>46287</v>
      </c>
    </row>
    <row r="63" spans="2:24">
      <c r="B63" s="20" t="s">
        <v>20</v>
      </c>
      <c r="C63" s="21"/>
      <c r="D63" s="26" t="s">
        <v>21</v>
      </c>
      <c r="E63" s="26"/>
      <c r="F63" s="33"/>
      <c r="G63" s="34" t="s">
        <v>12</v>
      </c>
      <c r="H63" s="29"/>
    </row>
    <row r="64" spans="2:24">
      <c r="B64" s="35" t="s">
        <v>22</v>
      </c>
      <c r="C64" s="26"/>
      <c r="D64" s="26" t="s">
        <v>23</v>
      </c>
      <c r="E64" s="26"/>
      <c r="F64" s="21" t="s">
        <v>24</v>
      </c>
      <c r="G64" s="28" t="s">
        <v>25</v>
      </c>
      <c r="H64" s="36"/>
    </row>
    <row r="65" ht="15.75" spans="2:8">
      <c r="B65" s="37" t="s">
        <v>26</v>
      </c>
      <c r="C65" s="38"/>
      <c r="D65" s="38" t="s">
        <v>27</v>
      </c>
      <c r="E65" s="38"/>
      <c r="F65" s="38" t="s">
        <v>28</v>
      </c>
      <c r="G65" s="39"/>
      <c r="H65" s="40"/>
    </row>
    <row r="66" ht="4.5" customHeight="1" spans="2:8">
      <c r="B66" s="41"/>
      <c r="H66" s="42"/>
    </row>
    <row r="67" ht="39" spans="2:8">
      <c r="B67" s="43" t="s">
        <v>30</v>
      </c>
      <c r="C67" s="44" t="s">
        <v>31</v>
      </c>
      <c r="D67" s="45" t="s">
        <v>32</v>
      </c>
      <c r="E67" s="44" t="s">
        <v>33</v>
      </c>
      <c r="F67" s="44" t="s">
        <v>34</v>
      </c>
      <c r="G67" s="44" t="s">
        <v>35</v>
      </c>
      <c r="H67" s="46" t="s">
        <v>36</v>
      </c>
    </row>
    <row r="68" customHeight="1" spans="2:8">
      <c r="B68" s="47">
        <v>1</v>
      </c>
      <c r="C68" s="48" t="s">
        <v>133</v>
      </c>
      <c r="D68" s="49">
        <v>82073000</v>
      </c>
      <c r="E68" s="50" t="s">
        <v>39</v>
      </c>
      <c r="F68" s="51">
        <v>1</v>
      </c>
      <c r="G68" s="52">
        <v>15700</v>
      </c>
      <c r="H68" s="53">
        <f>SUM(F68*G68)</f>
        <v>15700</v>
      </c>
    </row>
    <row r="69" spans="2:8">
      <c r="B69" s="54"/>
      <c r="C69" s="55" t="s">
        <v>134</v>
      </c>
      <c r="D69" s="56"/>
      <c r="E69" s="50"/>
      <c r="F69" s="51"/>
      <c r="G69" s="57"/>
      <c r="H69" s="53"/>
    </row>
    <row r="70" customHeight="1" spans="2:8">
      <c r="B70" s="54"/>
      <c r="C70" s="32"/>
      <c r="D70" s="58"/>
      <c r="E70" s="50"/>
      <c r="F70" s="51"/>
      <c r="G70" s="57"/>
      <c r="H70" s="53"/>
    </row>
    <row r="71" spans="2:8">
      <c r="B71" s="54"/>
      <c r="C71" s="60"/>
      <c r="D71" s="61"/>
      <c r="E71" s="50"/>
      <c r="F71" s="51"/>
      <c r="G71" s="57"/>
      <c r="H71" s="53"/>
    </row>
    <row r="72" customHeight="1" spans="2:8">
      <c r="B72" s="62"/>
      <c r="C72" s="32"/>
      <c r="D72" s="58"/>
      <c r="E72" s="50"/>
      <c r="F72" s="51"/>
      <c r="G72" s="57"/>
      <c r="H72" s="53"/>
    </row>
    <row r="73" spans="2:8">
      <c r="B73" s="62"/>
      <c r="C73" s="60"/>
      <c r="D73" s="56"/>
      <c r="E73" s="50"/>
      <c r="F73" s="51"/>
      <c r="G73" s="57"/>
      <c r="H73" s="53"/>
    </row>
    <row r="74" spans="2:8">
      <c r="B74" s="62"/>
      <c r="C74" s="32"/>
      <c r="D74" s="63"/>
      <c r="E74" s="50"/>
      <c r="F74" s="51"/>
      <c r="G74" s="57"/>
      <c r="H74" s="53"/>
    </row>
    <row r="75" spans="2:8">
      <c r="B75" s="62"/>
      <c r="C75" s="64"/>
      <c r="D75" s="63"/>
      <c r="E75" s="50"/>
      <c r="F75" s="51"/>
      <c r="G75" s="57"/>
      <c r="H75" s="53"/>
    </row>
    <row r="76" spans="2:8">
      <c r="B76" s="62"/>
      <c r="C76" s="32"/>
      <c r="D76" s="63"/>
      <c r="E76" s="50"/>
      <c r="F76" s="51"/>
      <c r="G76" s="57"/>
      <c r="H76" s="53"/>
    </row>
    <row r="77" spans="2:8">
      <c r="B77" s="62"/>
      <c r="C77" s="65"/>
      <c r="D77" s="27"/>
      <c r="E77" s="27"/>
      <c r="F77" s="66"/>
      <c r="G77" s="57"/>
      <c r="H77" s="53"/>
    </row>
    <row r="78" spans="2:8">
      <c r="B78" s="62"/>
      <c r="C78" s="32"/>
      <c r="D78" s="63"/>
      <c r="E78" s="50"/>
      <c r="F78" s="51"/>
      <c r="G78" s="57"/>
      <c r="H78" s="53"/>
    </row>
    <row r="79" spans="2:8">
      <c r="B79" s="62"/>
      <c r="C79" s="65"/>
      <c r="D79" s="27"/>
      <c r="E79" s="27"/>
      <c r="F79" s="66"/>
      <c r="G79" s="57"/>
      <c r="H79" s="53"/>
    </row>
    <row r="80" spans="2:8">
      <c r="B80" s="62"/>
      <c r="C80" s="67"/>
      <c r="D80" s="63"/>
      <c r="E80" s="50"/>
      <c r="F80" s="51"/>
      <c r="G80" s="68"/>
      <c r="H80" s="69"/>
    </row>
    <row r="81" spans="2:9">
      <c r="B81" s="20"/>
      <c r="C81" s="65"/>
      <c r="D81" s="21"/>
      <c r="E81" s="21"/>
      <c r="F81" s="66"/>
      <c r="G81" s="70"/>
      <c r="H81" s="69"/>
    </row>
    <row r="82" spans="2:9">
      <c r="B82" s="62"/>
      <c r="C82" s="32"/>
      <c r="D82" s="63"/>
      <c r="E82" s="50"/>
      <c r="F82" s="51"/>
      <c r="G82" s="70"/>
      <c r="H82" s="69"/>
    </row>
    <row r="83" spans="2:9">
      <c r="B83" s="20"/>
      <c r="C83" s="65"/>
      <c r="D83" s="21"/>
      <c r="E83" s="21"/>
      <c r="F83" s="66"/>
      <c r="G83" s="70"/>
      <c r="H83" s="69"/>
    </row>
    <row r="84" ht="21" spans="2:9">
      <c r="B84" s="71" t="s">
        <v>42</v>
      </c>
      <c r="C84" s="72"/>
      <c r="D84" s="66" t="s">
        <v>43</v>
      </c>
      <c r="E84" s="73"/>
      <c r="F84" s="27">
        <f>SUM(F68:F83)</f>
        <v>1</v>
      </c>
      <c r="G84" s="21"/>
      <c r="H84" s="74"/>
    </row>
    <row r="85" spans="2:9">
      <c r="B85" s="75"/>
      <c r="C85" s="76"/>
      <c r="D85" s="76"/>
      <c r="E85" s="77"/>
      <c r="F85" s="26" t="s">
        <v>44</v>
      </c>
      <c r="G85" s="26"/>
      <c r="H85" s="78">
        <f>SUM(H68:H84)</f>
        <v>15700</v>
      </c>
    </row>
    <row r="86" spans="2:9">
      <c r="B86" s="79" t="s">
        <v>45</v>
      </c>
      <c r="C86" s="80"/>
      <c r="E86" s="81"/>
      <c r="F86" s="21" t="s">
        <v>46</v>
      </c>
      <c r="G86" s="82">
        <v>0.09</v>
      </c>
      <c r="H86" s="78">
        <f>SUM(H85*G86)</f>
        <v>1413</v>
      </c>
    </row>
    <row r="87" spans="2:9">
      <c r="B87" s="83" t="s">
        <v>47</v>
      </c>
      <c r="C87" s="84"/>
      <c r="E87" s="81"/>
      <c r="F87" s="21" t="s">
        <v>48</v>
      </c>
      <c r="G87" s="82">
        <v>0.09</v>
      </c>
      <c r="H87" s="78">
        <f>SUM(H85*G87)</f>
        <v>1413</v>
      </c>
    </row>
    <row r="88" spans="2:9">
      <c r="B88" s="83" t="s">
        <v>49</v>
      </c>
      <c r="C88" s="84"/>
      <c r="E88" s="81"/>
      <c r="F88" s="21" t="s">
        <v>50</v>
      </c>
      <c r="G88" s="82">
        <v>0.18</v>
      </c>
      <c r="H88" s="85" t="s">
        <v>51</v>
      </c>
    </row>
    <row r="89" spans="2:9">
      <c r="B89" s="83" t="s">
        <v>52</v>
      </c>
      <c r="C89" s="84"/>
      <c r="E89" s="81"/>
      <c r="F89" s="86" t="s">
        <v>53</v>
      </c>
      <c r="G89" s="87"/>
      <c r="H89" s="78">
        <f>SUM(H86:H88)</f>
        <v>2826</v>
      </c>
    </row>
    <row r="90" customHeight="1" spans="2:9">
      <c r="B90" s="83" t="s">
        <v>54</v>
      </c>
      <c r="C90" s="84"/>
      <c r="E90" s="81"/>
      <c r="F90" s="88" t="s">
        <v>55</v>
      </c>
      <c r="G90" s="88"/>
      <c r="H90" s="89">
        <f>SUM(H85+H89+H92)</f>
        <v>18526</v>
      </c>
    </row>
    <row r="91" spans="2:9">
      <c r="B91" s="90"/>
      <c r="C91" s="91"/>
      <c r="D91" s="91"/>
      <c r="E91" s="92"/>
      <c r="F91" s="93" t="s">
        <v>56</v>
      </c>
      <c r="G91" s="93"/>
      <c r="H91" s="74"/>
      <c r="I91" s="59"/>
    </row>
    <row r="92" ht="29.4" customHeight="1" spans="2:9">
      <c r="B92" s="94" t="s">
        <v>135</v>
      </c>
      <c r="C92" s="95"/>
      <c r="D92" s="95"/>
      <c r="E92" s="96"/>
      <c r="F92" s="97" t="s">
        <v>58</v>
      </c>
      <c r="G92" s="98"/>
      <c r="H92" s="99"/>
    </row>
    <row r="93" ht="29.25" customHeight="1" spans="2:9">
      <c r="B93" s="100" t="s">
        <v>59</v>
      </c>
      <c r="C93" s="101"/>
      <c r="D93" s="101"/>
      <c r="E93" s="102" t="s">
        <v>60</v>
      </c>
      <c r="F93" s="102"/>
      <c r="G93" s="102"/>
      <c r="H93" s="103"/>
    </row>
    <row r="94" ht="18.75" spans="2:9">
      <c r="B94" s="104" t="s">
        <v>61</v>
      </c>
      <c r="E94" s="105" t="s">
        <v>62</v>
      </c>
      <c r="F94" s="105"/>
      <c r="G94" s="105"/>
      <c r="H94" s="106"/>
    </row>
    <row r="95" ht="18.75" spans="2:9">
      <c r="B95" s="108" t="s">
        <v>63</v>
      </c>
      <c r="C95" s="109"/>
      <c r="D95" s="110"/>
      <c r="E95" s="110"/>
      <c r="F95" s="111"/>
      <c r="G95" s="111"/>
      <c r="H95" s="42"/>
    </row>
    <row r="96" spans="2:9">
      <c r="B96" s="112" t="s">
        <v>64</v>
      </c>
      <c r="C96" s="113"/>
      <c r="D96" s="113"/>
      <c r="E96" s="113"/>
      <c r="F96" s="114"/>
      <c r="G96" s="111"/>
      <c r="H96" s="42"/>
    </row>
    <row r="97" spans="2:8">
      <c r="B97" s="112" t="s">
        <v>65</v>
      </c>
      <c r="C97" s="113"/>
      <c r="D97" s="113"/>
      <c r="E97" s="113"/>
      <c r="F97" s="114"/>
      <c r="G97" s="111"/>
      <c r="H97" s="42"/>
    </row>
    <row r="98" spans="2:8">
      <c r="B98" s="41"/>
      <c r="F98" s="111"/>
      <c r="G98" s="111"/>
      <c r="H98" s="42"/>
    </row>
    <row r="99" ht="15.75" spans="2:8">
      <c r="B99" s="115" t="s">
        <v>66</v>
      </c>
      <c r="C99" s="116"/>
      <c r="D99" s="116"/>
      <c r="E99" s="116"/>
      <c r="F99" s="116"/>
      <c r="G99" s="116"/>
      <c r="H99" s="117" t="s">
        <v>67</v>
      </c>
    </row>
    <row r="100" spans="2:8">
      <c r="H100" s="118"/>
    </row>
    <row r="101" ht="18" customHeight="1" spans="2:8">
      <c r="B101" s="120" t="s">
        <v>69</v>
      </c>
      <c r="C101" s="120"/>
      <c r="D101" s="120"/>
      <c r="E101" s="120"/>
      <c r="F101" s="120"/>
      <c r="G101" s="120"/>
      <c r="H101" s="120"/>
    </row>
    <row r="102" ht="21" spans="2:8">
      <c r="B102" s="2" t="s">
        <v>1</v>
      </c>
      <c r="C102" s="3"/>
      <c r="D102" s="3"/>
      <c r="E102" s="3"/>
      <c r="F102" s="3"/>
      <c r="G102" s="3"/>
      <c r="H102" s="4"/>
    </row>
    <row r="103" ht="28.5" spans="2:8">
      <c r="B103" s="5" t="s">
        <v>2</v>
      </c>
      <c r="C103" s="6"/>
      <c r="D103" s="6"/>
      <c r="E103" s="6"/>
      <c r="F103" s="6"/>
      <c r="G103" s="6"/>
      <c r="H103" s="7"/>
    </row>
    <row r="104" spans="2:8">
      <c r="B104" s="8" t="s">
        <v>3</v>
      </c>
      <c r="C104" s="9"/>
      <c r="D104" s="9"/>
      <c r="E104" s="9"/>
      <c r="F104" s="9"/>
      <c r="G104" s="9"/>
      <c r="H104" s="10"/>
    </row>
    <row r="105" ht="21.75" spans="2:8">
      <c r="B105" s="11" t="s">
        <v>4</v>
      </c>
      <c r="C105" s="12"/>
      <c r="D105" s="12"/>
      <c r="E105" s="12"/>
      <c r="F105" s="12"/>
      <c r="G105" s="12"/>
      <c r="H105" s="13"/>
    </row>
    <row r="106" spans="2:8">
      <c r="B106" s="14" t="s">
        <v>5</v>
      </c>
      <c r="C106" s="15"/>
      <c r="D106" s="15"/>
      <c r="E106" s="15"/>
      <c r="F106" s="15"/>
      <c r="G106" s="15"/>
      <c r="H106" s="16"/>
    </row>
    <row r="107" spans="2:8">
      <c r="B107" s="17" t="s">
        <v>6</v>
      </c>
      <c r="C107" s="18"/>
      <c r="D107" s="18"/>
      <c r="E107" s="18"/>
      <c r="F107" s="18"/>
      <c r="G107" s="18"/>
      <c r="H107" s="19"/>
    </row>
    <row r="108" ht="15.75" customHeight="1" spans="2:8">
      <c r="B108" s="20" t="s">
        <v>7</v>
      </c>
      <c r="C108" s="21"/>
      <c r="D108" s="22" t="s">
        <v>8</v>
      </c>
      <c r="E108" s="23"/>
      <c r="F108" s="23"/>
      <c r="G108" s="23"/>
      <c r="H108" s="24"/>
    </row>
    <row r="109" ht="21" spans="2:8">
      <c r="B109" s="25" t="s">
        <v>9</v>
      </c>
      <c r="C109" s="21"/>
      <c r="D109" s="26" t="s">
        <v>10</v>
      </c>
      <c r="E109" s="26"/>
      <c r="F109" s="27" t="s">
        <v>132</v>
      </c>
      <c r="G109" s="28" t="s">
        <v>12</v>
      </c>
      <c r="H109" s="29">
        <v>46289</v>
      </c>
    </row>
    <row r="110" spans="2:8">
      <c r="B110" s="20" t="s">
        <v>13</v>
      </c>
      <c r="C110" s="21"/>
      <c r="D110" s="26" t="s">
        <v>14</v>
      </c>
      <c r="E110" s="26"/>
      <c r="F110" s="27" t="s">
        <v>132</v>
      </c>
      <c r="G110" s="28" t="s">
        <v>12</v>
      </c>
      <c r="H110" s="29">
        <v>46289</v>
      </c>
    </row>
    <row r="111" spans="2:8">
      <c r="B111" s="20" t="s">
        <v>15</v>
      </c>
      <c r="C111" s="21"/>
      <c r="D111" s="26" t="s">
        <v>16</v>
      </c>
      <c r="E111" s="26"/>
      <c r="F111" s="30"/>
      <c r="G111" s="31" t="s">
        <v>12</v>
      </c>
      <c r="H111" s="29"/>
    </row>
    <row r="112" spans="2:8">
      <c r="B112" s="20" t="s">
        <v>17</v>
      </c>
      <c r="C112" s="21"/>
      <c r="D112" s="26" t="s">
        <v>18</v>
      </c>
      <c r="E112" s="26"/>
      <c r="F112" s="32" t="s">
        <v>104</v>
      </c>
      <c r="G112" s="31" t="s">
        <v>12</v>
      </c>
      <c r="H112" s="29">
        <v>46287</v>
      </c>
    </row>
    <row r="113" spans="2:8">
      <c r="B113" s="20" t="s">
        <v>20</v>
      </c>
      <c r="C113" s="21"/>
      <c r="D113" s="26" t="s">
        <v>21</v>
      </c>
      <c r="E113" s="26"/>
      <c r="F113" s="33"/>
      <c r="G113" s="34" t="s">
        <v>12</v>
      </c>
      <c r="H113" s="29"/>
    </row>
    <row r="114" spans="2:8">
      <c r="B114" s="35" t="s">
        <v>22</v>
      </c>
      <c r="C114" s="26"/>
      <c r="D114" s="26" t="s">
        <v>23</v>
      </c>
      <c r="E114" s="26"/>
      <c r="F114" s="21" t="s">
        <v>24</v>
      </c>
      <c r="G114" s="28" t="s">
        <v>25</v>
      </c>
      <c r="H114" s="36"/>
    </row>
    <row r="115" ht="15.75" spans="2:8">
      <c r="B115" s="37" t="s">
        <v>26</v>
      </c>
      <c r="C115" s="38"/>
      <c r="D115" s="38" t="s">
        <v>27</v>
      </c>
      <c r="E115" s="38"/>
      <c r="F115" s="38" t="s">
        <v>28</v>
      </c>
      <c r="G115" s="39"/>
      <c r="H115" s="40"/>
    </row>
    <row r="116" ht="3.75" customHeight="1" spans="2:8">
      <c r="B116" s="41"/>
      <c r="H116" s="42"/>
    </row>
    <row r="117" ht="39" spans="2:8">
      <c r="B117" s="43" t="s">
        <v>30</v>
      </c>
      <c r="C117" s="44" t="s">
        <v>31</v>
      </c>
      <c r="D117" s="45" t="s">
        <v>32</v>
      </c>
      <c r="E117" s="44" t="s">
        <v>33</v>
      </c>
      <c r="F117" s="44" t="s">
        <v>34</v>
      </c>
      <c r="G117" s="44" t="s">
        <v>35</v>
      </c>
      <c r="H117" s="46" t="s">
        <v>36</v>
      </c>
    </row>
    <row r="118" customHeight="1" spans="2:8">
      <c r="B118" s="47">
        <v>1</v>
      </c>
      <c r="C118" s="48" t="s">
        <v>133</v>
      </c>
      <c r="D118" s="49">
        <v>82073000</v>
      </c>
      <c r="E118" s="50" t="s">
        <v>39</v>
      </c>
      <c r="F118" s="51">
        <v>1</v>
      </c>
      <c r="G118" s="52">
        <v>15700</v>
      </c>
      <c r="H118" s="53">
        <f>SUM(F118*G118)</f>
        <v>15700</v>
      </c>
    </row>
    <row r="119" spans="2:8">
      <c r="B119" s="54"/>
      <c r="C119" s="55" t="s">
        <v>134</v>
      </c>
      <c r="D119" s="56"/>
      <c r="E119" s="50"/>
      <c r="F119" s="51"/>
      <c r="G119" s="57"/>
      <c r="H119" s="53"/>
    </row>
    <row r="120" spans="2:8">
      <c r="B120" s="54"/>
      <c r="C120" s="32"/>
      <c r="D120" s="58"/>
      <c r="E120" s="50"/>
      <c r="F120" s="51"/>
      <c r="G120" s="57"/>
      <c r="H120" s="53"/>
    </row>
    <row r="121" spans="2:8">
      <c r="B121" s="54"/>
      <c r="C121" s="60"/>
      <c r="D121" s="61"/>
      <c r="E121" s="50"/>
      <c r="F121" s="51"/>
      <c r="G121" s="57"/>
      <c r="H121" s="53"/>
    </row>
    <row r="122" spans="2:8">
      <c r="B122" s="62"/>
      <c r="C122" s="32"/>
      <c r="D122" s="58"/>
      <c r="E122" s="50"/>
      <c r="F122" s="51"/>
      <c r="G122" s="57"/>
      <c r="H122" s="53"/>
    </row>
    <row r="123" spans="2:8">
      <c r="B123" s="62"/>
      <c r="C123" s="60"/>
      <c r="D123" s="56"/>
      <c r="E123" s="50"/>
      <c r="F123" s="51"/>
      <c r="G123" s="57"/>
      <c r="H123" s="53"/>
    </row>
    <row r="124" spans="2:8">
      <c r="B124" s="62"/>
      <c r="C124" s="32"/>
      <c r="D124" s="63"/>
      <c r="E124" s="50"/>
      <c r="F124" s="51"/>
      <c r="G124" s="57"/>
      <c r="H124" s="53"/>
    </row>
    <row r="125" spans="2:8">
      <c r="B125" s="62"/>
      <c r="C125" s="64"/>
      <c r="D125" s="63"/>
      <c r="E125" s="50"/>
      <c r="F125" s="51"/>
      <c r="G125" s="57"/>
      <c r="H125" s="53"/>
    </row>
    <row r="126" spans="2:8">
      <c r="B126" s="62"/>
      <c r="C126" s="32"/>
      <c r="D126" s="63"/>
      <c r="E126" s="50"/>
      <c r="F126" s="51"/>
      <c r="G126" s="57"/>
      <c r="H126" s="53"/>
    </row>
    <row r="127" spans="2:8">
      <c r="B127" s="62"/>
      <c r="C127" s="65"/>
      <c r="D127" s="27"/>
      <c r="E127" s="27"/>
      <c r="F127" s="66"/>
      <c r="G127" s="57"/>
      <c r="H127" s="53"/>
    </row>
    <row r="128" spans="2:8">
      <c r="B128" s="62"/>
      <c r="C128" s="32"/>
      <c r="D128" s="63"/>
      <c r="E128" s="50"/>
      <c r="F128" s="51"/>
      <c r="G128" s="57"/>
      <c r="H128" s="53"/>
    </row>
    <row r="129" spans="2:8">
      <c r="B129" s="62"/>
      <c r="C129" s="65"/>
      <c r="D129" s="27"/>
      <c r="E129" s="27"/>
      <c r="F129" s="66"/>
      <c r="G129" s="57"/>
      <c r="H129" s="53"/>
    </row>
    <row r="130" spans="2:8">
      <c r="B130" s="62"/>
      <c r="C130" s="67"/>
      <c r="D130" s="63"/>
      <c r="E130" s="50"/>
      <c r="F130" s="51"/>
      <c r="G130" s="68"/>
      <c r="H130" s="69"/>
    </row>
    <row r="131" spans="2:8">
      <c r="B131" s="20"/>
      <c r="C131" s="65"/>
      <c r="D131" s="21"/>
      <c r="E131" s="21"/>
      <c r="F131" s="66"/>
      <c r="G131" s="70"/>
      <c r="H131" s="69"/>
    </row>
    <row r="132" spans="2:8">
      <c r="B132" s="62"/>
      <c r="C132" s="32"/>
      <c r="D132" s="63"/>
      <c r="E132" s="50"/>
      <c r="F132" s="51"/>
      <c r="G132" s="70"/>
      <c r="H132" s="69"/>
    </row>
    <row r="133" spans="2:8">
      <c r="B133" s="20"/>
      <c r="C133" s="65"/>
      <c r="D133" s="21"/>
      <c r="E133" s="21"/>
      <c r="F133" s="66"/>
      <c r="G133" s="70"/>
      <c r="H133" s="69"/>
    </row>
    <row r="134" ht="21" spans="2:8">
      <c r="B134" s="71" t="s">
        <v>42</v>
      </c>
      <c r="C134" s="72"/>
      <c r="D134" s="66" t="s">
        <v>43</v>
      </c>
      <c r="E134" s="73"/>
      <c r="F134" s="27">
        <f>SUM(F118:F133)</f>
        <v>1</v>
      </c>
      <c r="G134" s="21"/>
      <c r="H134" s="74"/>
    </row>
    <row r="135" spans="2:8">
      <c r="B135" s="75"/>
      <c r="C135" s="76"/>
      <c r="D135" s="76"/>
      <c r="E135" s="77"/>
      <c r="F135" s="26" t="s">
        <v>44</v>
      </c>
      <c r="G135" s="26"/>
      <c r="H135" s="78">
        <f>SUM(H118:H134)</f>
        <v>15700</v>
      </c>
    </row>
    <row r="136" spans="2:8">
      <c r="B136" s="79" t="s">
        <v>45</v>
      </c>
      <c r="C136" s="80"/>
      <c r="E136" s="81"/>
      <c r="F136" s="21" t="s">
        <v>46</v>
      </c>
      <c r="G136" s="82">
        <v>0.09</v>
      </c>
      <c r="H136" s="78">
        <f>SUM(H135*G136)</f>
        <v>1413</v>
      </c>
    </row>
    <row r="137" spans="2:8">
      <c r="B137" s="83" t="s">
        <v>47</v>
      </c>
      <c r="C137" s="84"/>
      <c r="E137" s="81"/>
      <c r="F137" s="21" t="s">
        <v>48</v>
      </c>
      <c r="G137" s="82">
        <v>0.09</v>
      </c>
      <c r="H137" s="78">
        <f>SUM(H135*G137)</f>
        <v>1413</v>
      </c>
    </row>
    <row r="138" spans="2:8">
      <c r="B138" s="83" t="s">
        <v>49</v>
      </c>
      <c r="C138" s="84"/>
      <c r="E138" s="81"/>
      <c r="F138" s="21" t="s">
        <v>50</v>
      </c>
      <c r="G138" s="82">
        <v>0.18</v>
      </c>
      <c r="H138" s="85" t="s">
        <v>51</v>
      </c>
    </row>
    <row r="139" spans="2:8">
      <c r="B139" s="83" t="s">
        <v>52</v>
      </c>
      <c r="C139" s="84"/>
      <c r="E139" s="81"/>
      <c r="F139" s="86" t="s">
        <v>53</v>
      </c>
      <c r="G139" s="87"/>
      <c r="H139" s="78">
        <f>SUM(H136:H138)</f>
        <v>2826</v>
      </c>
    </row>
    <row r="140" spans="2:8">
      <c r="B140" s="83" t="s">
        <v>54</v>
      </c>
      <c r="C140" s="84"/>
      <c r="E140" s="81"/>
      <c r="F140" s="88" t="s">
        <v>55</v>
      </c>
      <c r="G140" s="88"/>
      <c r="H140" s="89">
        <f>SUM(H135+H139+H142)</f>
        <v>18526</v>
      </c>
    </row>
    <row r="141" spans="2:8">
      <c r="B141" s="90"/>
      <c r="C141" s="91"/>
      <c r="D141" s="91"/>
      <c r="E141" s="92"/>
      <c r="F141" s="93" t="s">
        <v>56</v>
      </c>
      <c r="G141" s="93"/>
      <c r="H141" s="74"/>
    </row>
    <row r="142" ht="27" customHeight="1" spans="2:8">
      <c r="B142" s="94" t="s">
        <v>135</v>
      </c>
      <c r="C142" s="95"/>
      <c r="D142" s="95"/>
      <c r="E142" s="96"/>
      <c r="F142" s="97" t="s">
        <v>58</v>
      </c>
      <c r="G142" s="98"/>
      <c r="H142" s="99"/>
    </row>
    <row r="143" spans="2:8">
      <c r="B143" s="100" t="s">
        <v>59</v>
      </c>
      <c r="C143" s="101"/>
      <c r="D143" s="101"/>
      <c r="E143" s="102" t="s">
        <v>60</v>
      </c>
      <c r="F143" s="102"/>
      <c r="G143" s="102"/>
      <c r="H143" s="103"/>
    </row>
    <row r="144" ht="18.75" spans="2:8">
      <c r="B144" s="104" t="s">
        <v>61</v>
      </c>
      <c r="E144" s="105" t="s">
        <v>62</v>
      </c>
      <c r="F144" s="105"/>
      <c r="G144" s="105"/>
      <c r="H144" s="106"/>
    </row>
    <row r="145" ht="18.75" spans="2:8">
      <c r="B145" s="108" t="s">
        <v>63</v>
      </c>
      <c r="C145" s="109"/>
      <c r="D145" s="110"/>
      <c r="E145" s="110"/>
      <c r="F145" s="111"/>
      <c r="G145" s="111"/>
      <c r="H145" s="42"/>
    </row>
    <row r="146" spans="2:8">
      <c r="B146" s="112" t="s">
        <v>64</v>
      </c>
      <c r="C146" s="113"/>
      <c r="D146" s="113"/>
      <c r="E146" s="113"/>
      <c r="F146" s="114"/>
      <c r="G146" s="111"/>
      <c r="H146" s="42"/>
    </row>
    <row r="147" spans="2:8">
      <c r="B147" s="112" t="s">
        <v>65</v>
      </c>
      <c r="C147" s="113"/>
      <c r="D147" s="113"/>
      <c r="E147" s="113"/>
      <c r="F147" s="114"/>
      <c r="G147" s="111"/>
      <c r="H147" s="42"/>
    </row>
    <row r="148" spans="2:8">
      <c r="B148" s="41"/>
      <c r="F148" s="111"/>
      <c r="G148" s="111"/>
      <c r="H148" s="42"/>
    </row>
    <row r="149" ht="15.75" spans="2:8">
      <c r="B149" s="115" t="s">
        <v>66</v>
      </c>
      <c r="C149" s="116"/>
      <c r="D149" s="116"/>
      <c r="E149" s="116"/>
      <c r="F149" s="116"/>
      <c r="G149" s="116"/>
      <c r="H149" s="117" t="s">
        <v>67</v>
      </c>
    </row>
  </sheetData>
  <mergeCells count="48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4:C34"/>
    <mergeCell ref="D34:E34"/>
    <mergeCell ref="F39:G39"/>
    <mergeCell ref="B42:E42"/>
    <mergeCell ref="F42:G42"/>
    <mergeCell ref="E43:H43"/>
    <mergeCell ref="E44:H44"/>
    <mergeCell ref="B51:H51"/>
    <mergeCell ref="B52:H52"/>
    <mergeCell ref="B53:H53"/>
    <mergeCell ref="B54:H54"/>
    <mergeCell ref="B55:H55"/>
    <mergeCell ref="B56:H56"/>
    <mergeCell ref="B57:H57"/>
    <mergeCell ref="D58:H58"/>
    <mergeCell ref="G64:H64"/>
    <mergeCell ref="B84:C84"/>
    <mergeCell ref="D84:E84"/>
    <mergeCell ref="F89:G89"/>
    <mergeCell ref="B92:E92"/>
    <mergeCell ref="F92:G92"/>
    <mergeCell ref="E93:H93"/>
    <mergeCell ref="E94:H94"/>
    <mergeCell ref="B101:H101"/>
    <mergeCell ref="B102:H102"/>
    <mergeCell ref="B103:H103"/>
    <mergeCell ref="B104:H104"/>
    <mergeCell ref="B105:H105"/>
    <mergeCell ref="B106:H106"/>
    <mergeCell ref="B107:H107"/>
    <mergeCell ref="D108:H108"/>
    <mergeCell ref="G114:H114"/>
    <mergeCell ref="B134:C134"/>
    <mergeCell ref="D134:E134"/>
    <mergeCell ref="F139:G139"/>
    <mergeCell ref="B142:E142"/>
    <mergeCell ref="F142:G142"/>
    <mergeCell ref="E143:H143"/>
    <mergeCell ref="E144:H144"/>
  </mergeCells>
  <pageMargins left="0.17" right="0.17" top="0.17" bottom="0.17" header="10.9" footer="0.79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131"/>
  <sheetViews>
    <sheetView topLeftCell="A49" workbookViewId="0">
      <selection activeCell="L80" sqref="L80"/>
    </sheetView>
  </sheetViews>
  <sheetFormatPr defaultColWidth="9" defaultRowHeight="15"/>
  <cols>
    <col min="1" max="1" width="0.552380952380952" customWidth="1"/>
    <col min="2" max="2" width="3.66666666666667" customWidth="1"/>
    <col min="3" max="3" width="38.8857142857143" customWidth="1"/>
    <col min="4" max="4" width="9.55238095238095" customWidth="1"/>
    <col min="5" max="5" width="7.88571428571429" customWidth="1"/>
    <col min="6" max="6" width="15.8857142857143" customWidth="1"/>
    <col min="7" max="7" width="11.8857142857143" customWidth="1"/>
    <col min="8" max="8" width="11.6666666666667" customWidth="1"/>
    <col min="9" max="9" width="0.666666666666667" customWidth="1"/>
  </cols>
  <sheetData>
    <row r="1" ht="15.75" spans="2:8">
      <c r="B1" s="1" t="s">
        <v>0</v>
      </c>
      <c r="C1" s="1"/>
      <c r="D1" s="1"/>
      <c r="E1" s="1"/>
      <c r="F1" s="1"/>
      <c r="G1" s="1"/>
      <c r="H1" s="1"/>
    </row>
    <row r="2" ht="21" spans="2:8">
      <c r="B2" s="2" t="s">
        <v>1</v>
      </c>
      <c r="C2" s="3"/>
      <c r="D2" s="3"/>
      <c r="E2" s="3"/>
      <c r="F2" s="3"/>
      <c r="G2" s="3"/>
      <c r="H2" s="4"/>
    </row>
    <row r="3" ht="28.5" spans="2:8">
      <c r="B3" s="5" t="s">
        <v>2</v>
      </c>
      <c r="C3" s="6"/>
      <c r="D3" s="6"/>
      <c r="E3" s="6"/>
      <c r="F3" s="6"/>
      <c r="G3" s="6"/>
      <c r="H3" s="7"/>
    </row>
    <row r="4" spans="2:8">
      <c r="B4" s="8" t="s">
        <v>3</v>
      </c>
      <c r="C4" s="9"/>
      <c r="D4" s="9"/>
      <c r="E4" s="9"/>
      <c r="F4" s="9"/>
      <c r="G4" s="9"/>
      <c r="H4" s="10"/>
    </row>
    <row r="5" ht="21.75" spans="2:8">
      <c r="B5" s="11" t="s">
        <v>4</v>
      </c>
      <c r="C5" s="12"/>
      <c r="D5" s="12"/>
      <c r="E5" s="12"/>
      <c r="F5" s="12"/>
      <c r="G5" s="12"/>
      <c r="H5" s="13"/>
    </row>
    <row r="6" spans="2:8">
      <c r="B6" s="14" t="s">
        <v>5</v>
      </c>
      <c r="C6" s="15"/>
      <c r="D6" s="15"/>
      <c r="E6" s="15"/>
      <c r="F6" s="15"/>
      <c r="G6" s="15"/>
      <c r="H6" s="16"/>
    </row>
    <row r="7" spans="2:8">
      <c r="B7" s="17" t="s">
        <v>6</v>
      </c>
      <c r="C7" s="18"/>
      <c r="D7" s="18"/>
      <c r="E7" s="18"/>
      <c r="F7" s="18"/>
      <c r="G7" s="18"/>
      <c r="H7" s="19"/>
    </row>
    <row r="8" ht="15.75" customHeight="1" spans="2:8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8">
      <c r="B9" s="25" t="s">
        <v>9</v>
      </c>
      <c r="C9" s="21"/>
      <c r="D9" s="26" t="s">
        <v>10</v>
      </c>
      <c r="E9" s="26"/>
      <c r="F9" s="27" t="s">
        <v>136</v>
      </c>
      <c r="G9" s="28" t="s">
        <v>12</v>
      </c>
      <c r="H9" s="29">
        <v>46289</v>
      </c>
    </row>
    <row r="10" spans="2:8">
      <c r="B10" s="20" t="s">
        <v>13</v>
      </c>
      <c r="C10" s="21"/>
      <c r="D10" s="26" t="s">
        <v>14</v>
      </c>
      <c r="E10" s="26"/>
      <c r="F10" s="27" t="s">
        <v>136</v>
      </c>
      <c r="G10" s="28" t="s">
        <v>12</v>
      </c>
      <c r="H10" s="29">
        <v>46289</v>
      </c>
    </row>
    <row r="11" spans="2:8">
      <c r="B11" s="20" t="s">
        <v>15</v>
      </c>
      <c r="C11" s="21"/>
      <c r="D11" s="26" t="s">
        <v>16</v>
      </c>
      <c r="E11" s="26"/>
      <c r="F11" s="30"/>
      <c r="G11" s="31" t="s">
        <v>12</v>
      </c>
      <c r="H11" s="29"/>
    </row>
    <row r="12" spans="2:8">
      <c r="B12" s="20" t="s">
        <v>17</v>
      </c>
      <c r="C12" s="21"/>
      <c r="D12" s="26" t="s">
        <v>18</v>
      </c>
      <c r="E12" s="26"/>
      <c r="F12" s="32" t="s">
        <v>137</v>
      </c>
      <c r="G12" s="31" t="s">
        <v>12</v>
      </c>
      <c r="H12" s="29">
        <v>46287</v>
      </c>
    </row>
    <row r="13" spans="2:8">
      <c r="B13" s="20" t="s">
        <v>20</v>
      </c>
      <c r="C13" s="21"/>
      <c r="D13" s="26" t="s">
        <v>21</v>
      </c>
      <c r="E13" s="26"/>
      <c r="F13" s="33" t="s">
        <v>138</v>
      </c>
      <c r="G13" s="34" t="s">
        <v>12</v>
      </c>
      <c r="H13" s="29">
        <v>46289</v>
      </c>
    </row>
    <row r="14" spans="2:8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8">
      <c r="B15" s="37" t="s">
        <v>26</v>
      </c>
      <c r="C15" s="38"/>
      <c r="D15" s="38" t="s">
        <v>27</v>
      </c>
      <c r="E15" s="38"/>
      <c r="F15" s="38" t="s">
        <v>28</v>
      </c>
      <c r="G15" s="39" t="s">
        <v>106</v>
      </c>
      <c r="H15" s="40"/>
    </row>
    <row r="16" ht="3.75" customHeight="1" spans="2:8">
      <c r="B16" s="41"/>
      <c r="H16" s="42"/>
    </row>
    <row r="17" ht="24.75" customHeight="1" spans="2:13">
      <c r="B17" s="43" t="s">
        <v>30</v>
      </c>
      <c r="C17" s="44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M17" t="s">
        <v>37</v>
      </c>
    </row>
    <row r="18" ht="21" spans="2:13">
      <c r="B18" s="47">
        <v>1</v>
      </c>
      <c r="C18" s="67" t="s">
        <v>139</v>
      </c>
      <c r="D18" s="58">
        <v>84663020</v>
      </c>
      <c r="E18" s="50" t="s">
        <v>39</v>
      </c>
      <c r="F18" s="51">
        <v>4</v>
      </c>
      <c r="G18" s="52">
        <v>6835</v>
      </c>
      <c r="H18" s="53">
        <f>SUM(F18*G18)</f>
        <v>27340</v>
      </c>
    </row>
    <row r="19" ht="21" spans="2:13">
      <c r="B19" s="54">
        <v>2</v>
      </c>
      <c r="C19" s="133" t="s">
        <v>140</v>
      </c>
      <c r="D19" s="146">
        <v>84663020</v>
      </c>
      <c r="E19" s="50" t="s">
        <v>39</v>
      </c>
      <c r="F19" s="51">
        <v>1</v>
      </c>
      <c r="G19" s="57">
        <v>4250</v>
      </c>
      <c r="H19" s="53">
        <f t="shared" ref="H19:H27" si="0">SUM(F19*G19)</f>
        <v>4250</v>
      </c>
    </row>
    <row r="20" ht="21" spans="2:13">
      <c r="B20" s="47">
        <v>3</v>
      </c>
      <c r="C20" s="119" t="s">
        <v>141</v>
      </c>
      <c r="D20" s="146">
        <v>84663020</v>
      </c>
      <c r="E20" s="50" t="s">
        <v>39</v>
      </c>
      <c r="F20" s="51">
        <v>1</v>
      </c>
      <c r="G20" s="57">
        <v>6145</v>
      </c>
      <c r="H20" s="53">
        <f t="shared" si="0"/>
        <v>6145</v>
      </c>
      <c r="L20" s="59"/>
    </row>
    <row r="21" ht="21" spans="2:13">
      <c r="B21" s="54">
        <v>4</v>
      </c>
      <c r="C21" s="119" t="s">
        <v>142</v>
      </c>
      <c r="D21" s="146">
        <v>84663020</v>
      </c>
      <c r="E21" s="50" t="s">
        <v>39</v>
      </c>
      <c r="F21" s="51">
        <v>1</v>
      </c>
      <c r="G21" s="57">
        <v>3300</v>
      </c>
      <c r="H21" s="53">
        <f t="shared" si="0"/>
        <v>3300</v>
      </c>
      <c r="L21" s="59"/>
    </row>
    <row r="22" ht="33.75" spans="2:13">
      <c r="B22" s="54">
        <v>5</v>
      </c>
      <c r="C22" s="147" t="s">
        <v>143</v>
      </c>
      <c r="D22" s="146">
        <v>84663020</v>
      </c>
      <c r="E22" s="50" t="s">
        <v>39</v>
      </c>
      <c r="F22" s="51">
        <v>10</v>
      </c>
      <c r="G22" s="57">
        <v>5950</v>
      </c>
      <c r="H22" s="53">
        <f t="shared" si="0"/>
        <v>59500</v>
      </c>
    </row>
    <row r="23" ht="24.75" customHeight="1" spans="2:13">
      <c r="B23" s="54">
        <v>6</v>
      </c>
      <c r="C23" s="148" t="s">
        <v>144</v>
      </c>
      <c r="D23" s="146">
        <v>84663020</v>
      </c>
      <c r="E23" s="50" t="s">
        <v>39</v>
      </c>
      <c r="F23" s="51">
        <v>4</v>
      </c>
      <c r="G23" s="57">
        <v>6835</v>
      </c>
      <c r="H23" s="53">
        <f t="shared" si="0"/>
        <v>27340</v>
      </c>
    </row>
    <row r="24" ht="22.5" spans="2:13">
      <c r="B24" s="62">
        <v>7</v>
      </c>
      <c r="C24" s="147" t="s">
        <v>145</v>
      </c>
      <c r="D24" s="146">
        <v>84663020</v>
      </c>
      <c r="E24" s="50" t="s">
        <v>39</v>
      </c>
      <c r="F24" s="51">
        <v>4</v>
      </c>
      <c r="G24" s="57">
        <v>5350</v>
      </c>
      <c r="H24" s="53">
        <f t="shared" si="0"/>
        <v>21400</v>
      </c>
    </row>
    <row r="25" ht="21" spans="2:13">
      <c r="B25" s="62">
        <v>8</v>
      </c>
      <c r="C25" s="149" t="s">
        <v>146</v>
      </c>
      <c r="D25" s="146">
        <v>84663020</v>
      </c>
      <c r="E25" s="50" t="s">
        <v>39</v>
      </c>
      <c r="F25" s="51">
        <v>2</v>
      </c>
      <c r="G25" s="57">
        <v>5200</v>
      </c>
      <c r="H25" s="53">
        <f t="shared" si="0"/>
        <v>10400</v>
      </c>
    </row>
    <row r="26" ht="21" spans="2:13">
      <c r="B26" s="62">
        <v>9</v>
      </c>
      <c r="C26" s="119" t="s">
        <v>147</v>
      </c>
      <c r="D26" s="146">
        <v>84663020</v>
      </c>
      <c r="E26" s="50" t="s">
        <v>39</v>
      </c>
      <c r="F26" s="51">
        <v>1</v>
      </c>
      <c r="G26" s="57">
        <v>6420</v>
      </c>
      <c r="H26" s="53">
        <f t="shared" si="0"/>
        <v>6420</v>
      </c>
    </row>
    <row r="27" ht="41.25" customHeight="1" spans="2:13">
      <c r="B27" s="54">
        <v>10</v>
      </c>
      <c r="C27" s="150" t="s">
        <v>148</v>
      </c>
      <c r="D27" s="146">
        <v>84663020</v>
      </c>
      <c r="E27" s="50" t="s">
        <v>39</v>
      </c>
      <c r="F27" s="151">
        <v>9</v>
      </c>
      <c r="G27" s="57">
        <v>12700</v>
      </c>
      <c r="H27" s="53">
        <f t="shared" si="0"/>
        <v>114300</v>
      </c>
    </row>
    <row r="28" customHeight="1" spans="2:13">
      <c r="B28" s="71" t="s">
        <v>42</v>
      </c>
      <c r="C28" s="72"/>
      <c r="D28" s="66" t="s">
        <v>43</v>
      </c>
      <c r="E28" s="73"/>
      <c r="F28" s="27">
        <f>SUM(F18:F27)</f>
        <v>37</v>
      </c>
      <c r="G28" s="21"/>
      <c r="H28" s="74"/>
    </row>
    <row r="29" spans="2:13">
      <c r="B29" s="75"/>
      <c r="C29" s="76"/>
      <c r="D29" s="76"/>
      <c r="E29" s="77"/>
      <c r="F29" s="26" t="s">
        <v>44</v>
      </c>
      <c r="G29" s="26"/>
      <c r="H29" s="78">
        <f>SUM(H18:H28)</f>
        <v>280395</v>
      </c>
    </row>
    <row r="30" spans="2:13">
      <c r="B30" s="79" t="s">
        <v>45</v>
      </c>
      <c r="C30" s="80"/>
      <c r="E30" s="81"/>
      <c r="F30" s="21" t="s">
        <v>46</v>
      </c>
      <c r="G30" s="82">
        <v>0.09</v>
      </c>
      <c r="H30" s="78">
        <f>SUM(H29*G30)</f>
        <v>25235.55</v>
      </c>
    </row>
    <row r="31" spans="2:13">
      <c r="B31" s="83" t="s">
        <v>47</v>
      </c>
      <c r="C31" s="84"/>
      <c r="E31" s="81"/>
      <c r="F31" s="21" t="s">
        <v>48</v>
      </c>
      <c r="G31" s="82">
        <v>0.09</v>
      </c>
      <c r="H31" s="78">
        <f>SUM(H29*G31)</f>
        <v>25235.55</v>
      </c>
    </row>
    <row r="32" spans="2:13">
      <c r="B32" s="83" t="s">
        <v>49</v>
      </c>
      <c r="C32" s="84"/>
      <c r="E32" s="81"/>
      <c r="F32" s="21" t="s">
        <v>50</v>
      </c>
      <c r="G32" s="82">
        <v>0.18</v>
      </c>
      <c r="H32" s="85" t="s">
        <v>51</v>
      </c>
    </row>
    <row r="33" spans="2:9">
      <c r="B33" s="83" t="s">
        <v>52</v>
      </c>
      <c r="C33" s="84"/>
      <c r="E33" s="81"/>
      <c r="F33" s="86" t="s">
        <v>53</v>
      </c>
      <c r="G33" s="87"/>
      <c r="H33" s="78">
        <f>SUM(H30:H32)</f>
        <v>50471.1</v>
      </c>
    </row>
    <row r="34" spans="2:9">
      <c r="B34" s="83" t="s">
        <v>54</v>
      </c>
      <c r="C34" s="84"/>
      <c r="E34" s="81"/>
      <c r="F34" s="88" t="s">
        <v>55</v>
      </c>
      <c r="G34" s="88"/>
      <c r="H34" s="89">
        <f>SUM(H29+H33+H36)</f>
        <v>330866</v>
      </c>
    </row>
    <row r="35" spans="2:9">
      <c r="B35" s="90"/>
      <c r="C35" s="91"/>
      <c r="D35" s="91"/>
      <c r="E35" s="92"/>
      <c r="F35" s="93" t="s">
        <v>56</v>
      </c>
      <c r="G35" s="93"/>
      <c r="H35" s="74"/>
    </row>
    <row r="36" ht="29.4" customHeight="1" spans="2:9">
      <c r="B36" s="94" t="s">
        <v>149</v>
      </c>
      <c r="C36" s="95"/>
      <c r="D36" s="95"/>
      <c r="E36" s="96"/>
      <c r="F36" s="97" t="s">
        <v>58</v>
      </c>
      <c r="G36" s="98"/>
      <c r="H36" s="99">
        <v>-0.1</v>
      </c>
    </row>
    <row r="37" ht="21" customHeight="1" spans="2:9">
      <c r="B37" s="100" t="s">
        <v>59</v>
      </c>
      <c r="C37" s="101"/>
      <c r="D37" s="101"/>
      <c r="E37" s="102" t="s">
        <v>60</v>
      </c>
      <c r="F37" s="102"/>
      <c r="G37" s="102"/>
      <c r="H37" s="103"/>
    </row>
    <row r="38" ht="18.75" spans="2:9">
      <c r="B38" s="104" t="s">
        <v>61</v>
      </c>
      <c r="E38" s="105" t="s">
        <v>62</v>
      </c>
      <c r="F38" s="105"/>
      <c r="G38" s="105"/>
      <c r="H38" s="106"/>
      <c r="I38" s="107"/>
    </row>
    <row r="39" ht="18.75" spans="2:9">
      <c r="B39" s="108" t="s">
        <v>63</v>
      </c>
      <c r="C39" s="109"/>
      <c r="D39" s="110"/>
      <c r="E39" s="110"/>
      <c r="F39" s="111"/>
      <c r="G39" s="111"/>
      <c r="H39" s="42"/>
    </row>
    <row r="40" spans="2:9">
      <c r="B40" s="112" t="s">
        <v>64</v>
      </c>
      <c r="C40" s="113"/>
      <c r="D40" s="113"/>
      <c r="E40" s="113"/>
      <c r="F40" s="114"/>
      <c r="G40" s="111"/>
      <c r="H40" s="42"/>
    </row>
    <row r="41" spans="2:9">
      <c r="B41" s="112" t="s">
        <v>65</v>
      </c>
      <c r="C41" s="113"/>
      <c r="D41" s="113"/>
      <c r="E41" s="113"/>
      <c r="F41" s="114"/>
      <c r="G41" s="111"/>
      <c r="H41" s="42"/>
    </row>
    <row r="42" spans="2:9">
      <c r="B42" s="41"/>
      <c r="F42" s="111"/>
      <c r="G42" s="111"/>
      <c r="H42" s="42"/>
    </row>
    <row r="43" ht="15.75" spans="2:9">
      <c r="B43" s="115" t="s">
        <v>66</v>
      </c>
      <c r="C43" s="116"/>
      <c r="D43" s="116"/>
      <c r="E43" s="116"/>
      <c r="F43" s="116"/>
      <c r="G43" s="116"/>
      <c r="H43" s="117" t="s">
        <v>67</v>
      </c>
    </row>
    <row r="44" spans="2:9">
      <c r="H44" s="118"/>
    </row>
    <row r="45" ht="15.75" customHeight="1" spans="2:9">
      <c r="B45" s="1" t="s">
        <v>68</v>
      </c>
      <c r="C45" s="1"/>
      <c r="D45" s="1"/>
      <c r="E45" s="1"/>
      <c r="F45" s="1"/>
      <c r="G45" s="1"/>
      <c r="H45" s="1"/>
    </row>
    <row r="46" ht="21" spans="2:9">
      <c r="B46" s="2" t="s">
        <v>1</v>
      </c>
      <c r="C46" s="3"/>
      <c r="D46" s="3"/>
      <c r="E46" s="3"/>
      <c r="F46" s="3"/>
      <c r="G46" s="3"/>
      <c r="H46" s="4"/>
    </row>
    <row r="47" ht="28.5" spans="2:9">
      <c r="B47" s="5" t="s">
        <v>2</v>
      </c>
      <c r="C47" s="6"/>
      <c r="D47" s="6"/>
      <c r="E47" s="6"/>
      <c r="F47" s="6"/>
      <c r="G47" s="6"/>
      <c r="H47" s="7"/>
    </row>
    <row r="48" spans="2:9">
      <c r="B48" s="8" t="s">
        <v>3</v>
      </c>
      <c r="C48" s="9"/>
      <c r="D48" s="9"/>
      <c r="E48" s="9"/>
      <c r="F48" s="9"/>
      <c r="G48" s="9"/>
      <c r="H48" s="10"/>
    </row>
    <row r="49" ht="21.75" spans="2:24">
      <c r="B49" s="11" t="s">
        <v>4</v>
      </c>
      <c r="C49" s="12"/>
      <c r="D49" s="12"/>
      <c r="E49" s="12"/>
      <c r="F49" s="12"/>
      <c r="G49" s="12"/>
      <c r="H49" s="13"/>
    </row>
    <row r="50" spans="2:24">
      <c r="B50" s="14" t="s">
        <v>5</v>
      </c>
      <c r="C50" s="15"/>
      <c r="D50" s="15"/>
      <c r="E50" s="15"/>
      <c r="F50" s="15"/>
      <c r="G50" s="15"/>
      <c r="H50" s="16"/>
    </row>
    <row r="51" spans="2:24">
      <c r="B51" s="17" t="s">
        <v>6</v>
      </c>
      <c r="C51" s="18"/>
      <c r="D51" s="18"/>
      <c r="E51" s="18"/>
      <c r="F51" s="18"/>
      <c r="G51" s="18"/>
      <c r="H51" s="19"/>
      <c r="X51" s="119"/>
    </row>
    <row r="52" ht="15.75" customHeight="1" spans="2:24">
      <c r="B52" s="20" t="s">
        <v>7</v>
      </c>
      <c r="C52" s="21"/>
      <c r="D52" s="22" t="s">
        <v>8</v>
      </c>
      <c r="E52" s="23"/>
      <c r="F52" s="23"/>
      <c r="G52" s="23"/>
      <c r="H52" s="24"/>
    </row>
    <row r="53" ht="21" spans="2:24">
      <c r="B53" s="25" t="s">
        <v>9</v>
      </c>
      <c r="C53" s="21"/>
      <c r="D53" s="26" t="s">
        <v>10</v>
      </c>
      <c r="E53" s="26"/>
      <c r="F53" s="27" t="s">
        <v>136</v>
      </c>
      <c r="G53" s="28" t="s">
        <v>12</v>
      </c>
      <c r="H53" s="29">
        <v>46289</v>
      </c>
    </row>
    <row r="54" spans="2:24">
      <c r="B54" s="20" t="s">
        <v>13</v>
      </c>
      <c r="C54" s="21"/>
      <c r="D54" s="26" t="s">
        <v>14</v>
      </c>
      <c r="E54" s="26"/>
      <c r="F54" s="27" t="s">
        <v>136</v>
      </c>
      <c r="G54" s="28" t="s">
        <v>12</v>
      </c>
      <c r="H54" s="29">
        <v>46289</v>
      </c>
    </row>
    <row r="55" spans="2:24">
      <c r="B55" s="20" t="s">
        <v>15</v>
      </c>
      <c r="C55" s="21"/>
      <c r="D55" s="26" t="s">
        <v>16</v>
      </c>
      <c r="E55" s="26"/>
      <c r="F55" s="30"/>
      <c r="G55" s="31" t="s">
        <v>12</v>
      </c>
      <c r="H55" s="29"/>
    </row>
    <row r="56" spans="2:24">
      <c r="B56" s="20" t="s">
        <v>17</v>
      </c>
      <c r="C56" s="21"/>
      <c r="D56" s="26" t="s">
        <v>18</v>
      </c>
      <c r="E56" s="26"/>
      <c r="F56" s="32" t="s">
        <v>137</v>
      </c>
      <c r="G56" s="31" t="s">
        <v>12</v>
      </c>
      <c r="H56" s="29">
        <v>46287</v>
      </c>
    </row>
    <row r="57" spans="2:24">
      <c r="B57" s="20" t="s">
        <v>20</v>
      </c>
      <c r="C57" s="21"/>
      <c r="D57" s="26" t="s">
        <v>21</v>
      </c>
      <c r="E57" s="26"/>
      <c r="F57" s="33" t="s">
        <v>138</v>
      </c>
      <c r="G57" s="34" t="s">
        <v>12</v>
      </c>
      <c r="H57" s="29">
        <v>46289</v>
      </c>
    </row>
    <row r="58" spans="2:24">
      <c r="B58" s="35" t="s">
        <v>22</v>
      </c>
      <c r="C58" s="26"/>
      <c r="D58" s="26" t="s">
        <v>23</v>
      </c>
      <c r="E58" s="26"/>
      <c r="F58" s="21" t="s">
        <v>24</v>
      </c>
      <c r="G58" s="28" t="s">
        <v>25</v>
      </c>
      <c r="H58" s="36"/>
    </row>
    <row r="59" ht="15.75" spans="2:24">
      <c r="B59" s="37" t="s">
        <v>26</v>
      </c>
      <c r="C59" s="38"/>
      <c r="D59" s="38" t="s">
        <v>27</v>
      </c>
      <c r="E59" s="38"/>
      <c r="F59" s="38" t="s">
        <v>28</v>
      </c>
      <c r="G59" s="39" t="s">
        <v>106</v>
      </c>
      <c r="H59" s="40"/>
    </row>
    <row r="60" ht="4.5" customHeight="1" spans="2:24">
      <c r="B60" s="41"/>
      <c r="H60" s="42"/>
    </row>
    <row r="61" ht="39" spans="2:24">
      <c r="B61" s="43" t="s">
        <v>30</v>
      </c>
      <c r="C61" s="44" t="s">
        <v>31</v>
      </c>
      <c r="D61" s="45" t="s">
        <v>32</v>
      </c>
      <c r="E61" s="44" t="s">
        <v>33</v>
      </c>
      <c r="F61" s="44" t="s">
        <v>34</v>
      </c>
      <c r="G61" s="44" t="s">
        <v>35</v>
      </c>
      <c r="H61" s="46" t="s">
        <v>36</v>
      </c>
    </row>
    <row r="62" ht="23.25" customHeight="1" spans="2:24">
      <c r="B62" s="47">
        <v>1</v>
      </c>
      <c r="C62" s="67" t="s">
        <v>139</v>
      </c>
      <c r="D62" s="58">
        <v>84663020</v>
      </c>
      <c r="E62" s="50" t="s">
        <v>39</v>
      </c>
      <c r="F62" s="51">
        <v>4</v>
      </c>
      <c r="G62" s="52">
        <v>6835</v>
      </c>
      <c r="H62" s="53">
        <f>SUM(F62*G62)</f>
        <v>27340</v>
      </c>
    </row>
    <row r="63" ht="21" spans="2:24">
      <c r="B63" s="54">
        <v>2</v>
      </c>
      <c r="C63" s="133" t="s">
        <v>140</v>
      </c>
      <c r="D63" s="146">
        <v>84663020</v>
      </c>
      <c r="E63" s="50" t="s">
        <v>39</v>
      </c>
      <c r="F63" s="51">
        <v>1</v>
      </c>
      <c r="G63" s="57">
        <v>4250</v>
      </c>
      <c r="H63" s="53">
        <f t="shared" ref="H63:H71" si="1">SUM(F63*G63)</f>
        <v>4250</v>
      </c>
    </row>
    <row r="64" customHeight="1" spans="2:24">
      <c r="B64" s="47">
        <v>3</v>
      </c>
      <c r="C64" s="119" t="s">
        <v>141</v>
      </c>
      <c r="D64" s="146">
        <v>84663020</v>
      </c>
      <c r="E64" s="50" t="s">
        <v>39</v>
      </c>
      <c r="F64" s="51">
        <v>1</v>
      </c>
      <c r="G64" s="57">
        <v>6145</v>
      </c>
      <c r="H64" s="53">
        <f t="shared" si="1"/>
        <v>6145</v>
      </c>
    </row>
    <row r="65" ht="21" spans="2:8">
      <c r="B65" s="54">
        <v>4</v>
      </c>
      <c r="C65" s="119" t="s">
        <v>142</v>
      </c>
      <c r="D65" s="146">
        <v>84663020</v>
      </c>
      <c r="E65" s="50" t="s">
        <v>39</v>
      </c>
      <c r="F65" s="51">
        <v>1</v>
      </c>
      <c r="G65" s="57">
        <v>3300</v>
      </c>
      <c r="H65" s="53">
        <f t="shared" si="1"/>
        <v>3300</v>
      </c>
    </row>
    <row r="66" ht="35.25" customHeight="1" spans="2:8">
      <c r="B66" s="54">
        <v>5</v>
      </c>
      <c r="C66" s="147" t="s">
        <v>143</v>
      </c>
      <c r="D66" s="146">
        <v>84663020</v>
      </c>
      <c r="E66" s="50" t="s">
        <v>39</v>
      </c>
      <c r="F66" s="51">
        <v>10</v>
      </c>
      <c r="G66" s="57">
        <v>5950</v>
      </c>
      <c r="H66" s="53">
        <f t="shared" si="1"/>
        <v>59500</v>
      </c>
    </row>
    <row r="67" ht="24" customHeight="1" spans="2:8">
      <c r="B67" s="54">
        <v>6</v>
      </c>
      <c r="C67" s="148" t="s">
        <v>144</v>
      </c>
      <c r="D67" s="146">
        <v>84663020</v>
      </c>
      <c r="E67" s="50" t="s">
        <v>39</v>
      </c>
      <c r="F67" s="51">
        <v>4</v>
      </c>
      <c r="G67" s="57">
        <v>6835</v>
      </c>
      <c r="H67" s="53">
        <f t="shared" si="1"/>
        <v>27340</v>
      </c>
    </row>
    <row r="68" ht="22.5" spans="2:8">
      <c r="B68" s="62">
        <v>7</v>
      </c>
      <c r="C68" s="147" t="s">
        <v>145</v>
      </c>
      <c r="D68" s="146">
        <v>84663020</v>
      </c>
      <c r="E68" s="50" t="s">
        <v>39</v>
      </c>
      <c r="F68" s="51">
        <v>4</v>
      </c>
      <c r="G68" s="57">
        <v>5350</v>
      </c>
      <c r="H68" s="53">
        <f t="shared" si="1"/>
        <v>21400</v>
      </c>
    </row>
    <row r="69" ht="21" spans="2:8">
      <c r="B69" s="62">
        <v>8</v>
      </c>
      <c r="C69" s="149" t="s">
        <v>146</v>
      </c>
      <c r="D69" s="146">
        <v>84663020</v>
      </c>
      <c r="E69" s="50" t="s">
        <v>39</v>
      </c>
      <c r="F69" s="51">
        <v>2</v>
      </c>
      <c r="G69" s="57">
        <v>5200</v>
      </c>
      <c r="H69" s="53">
        <f t="shared" si="1"/>
        <v>10400</v>
      </c>
    </row>
    <row r="70" ht="21" spans="2:8">
      <c r="B70" s="62">
        <v>9</v>
      </c>
      <c r="C70" s="119" t="s">
        <v>147</v>
      </c>
      <c r="D70" s="146">
        <v>84663020</v>
      </c>
      <c r="E70" s="50" t="s">
        <v>39</v>
      </c>
      <c r="F70" s="51">
        <v>1</v>
      </c>
      <c r="G70" s="57">
        <v>6420</v>
      </c>
      <c r="H70" s="53">
        <f t="shared" si="1"/>
        <v>6420</v>
      </c>
    </row>
    <row r="71" ht="34.8" customHeight="1" spans="2:8">
      <c r="B71" s="54">
        <v>10</v>
      </c>
      <c r="C71" s="150" t="s">
        <v>148</v>
      </c>
      <c r="D71" s="146">
        <v>84663020</v>
      </c>
      <c r="E71" s="50" t="s">
        <v>39</v>
      </c>
      <c r="F71" s="151">
        <v>9</v>
      </c>
      <c r="G71" s="57">
        <v>12700</v>
      </c>
      <c r="H71" s="53">
        <f t="shared" si="1"/>
        <v>114300</v>
      </c>
    </row>
    <row r="72" ht="21" spans="2:8">
      <c r="B72" s="71" t="s">
        <v>42</v>
      </c>
      <c r="C72" s="72"/>
      <c r="D72" s="66" t="s">
        <v>43</v>
      </c>
      <c r="E72" s="73"/>
      <c r="F72" s="27">
        <f>SUM(F62:F71)</f>
        <v>37</v>
      </c>
      <c r="G72" s="21"/>
      <c r="H72" s="74"/>
    </row>
    <row r="73" spans="2:8">
      <c r="B73" s="75"/>
      <c r="C73" s="76"/>
      <c r="D73" s="76"/>
      <c r="E73" s="77"/>
      <c r="F73" s="26" t="s">
        <v>44</v>
      </c>
      <c r="G73" s="26"/>
      <c r="H73" s="78">
        <f>SUM(H62:H72)</f>
        <v>280395</v>
      </c>
    </row>
    <row r="74" spans="2:8">
      <c r="B74" s="79" t="s">
        <v>45</v>
      </c>
      <c r="C74" s="80"/>
      <c r="E74" s="81"/>
      <c r="F74" s="21" t="s">
        <v>46</v>
      </c>
      <c r="G74" s="82">
        <v>0.09</v>
      </c>
      <c r="H74" s="78">
        <f>SUM(H73*G74)</f>
        <v>25235.55</v>
      </c>
    </row>
    <row r="75" spans="2:8">
      <c r="B75" s="83" t="s">
        <v>47</v>
      </c>
      <c r="C75" s="84"/>
      <c r="E75" s="81"/>
      <c r="F75" s="21" t="s">
        <v>48</v>
      </c>
      <c r="G75" s="82">
        <v>0.09</v>
      </c>
      <c r="H75" s="78">
        <f>SUM(H73*G75)</f>
        <v>25235.55</v>
      </c>
    </row>
    <row r="76" spans="2:8">
      <c r="B76" s="83" t="s">
        <v>49</v>
      </c>
      <c r="C76" s="84"/>
      <c r="E76" s="81"/>
      <c r="F76" s="21" t="s">
        <v>50</v>
      </c>
      <c r="G76" s="82">
        <v>0.18</v>
      </c>
      <c r="H76" s="85" t="s">
        <v>51</v>
      </c>
    </row>
    <row r="77" spans="2:8">
      <c r="B77" s="83" t="s">
        <v>52</v>
      </c>
      <c r="C77" s="84"/>
      <c r="E77" s="81"/>
      <c r="F77" s="86" t="s">
        <v>53</v>
      </c>
      <c r="G77" s="87"/>
      <c r="H77" s="78">
        <f>SUM(H74:H76)</f>
        <v>50471.1</v>
      </c>
    </row>
    <row r="78" spans="2:8">
      <c r="B78" s="83" t="s">
        <v>54</v>
      </c>
      <c r="C78" s="84"/>
      <c r="E78" s="81"/>
      <c r="F78" s="88" t="s">
        <v>55</v>
      </c>
      <c r="G78" s="88"/>
      <c r="H78" s="89">
        <f>SUM(H73+H77+H80)</f>
        <v>330866</v>
      </c>
    </row>
    <row r="79" spans="2:8">
      <c r="B79" s="90"/>
      <c r="C79" s="91"/>
      <c r="D79" s="91"/>
      <c r="E79" s="92"/>
      <c r="F79" s="93" t="s">
        <v>56</v>
      </c>
      <c r="G79" s="93"/>
      <c r="H79" s="74"/>
    </row>
    <row r="80" ht="30.75" customHeight="1" spans="2:8">
      <c r="B80" s="94" t="s">
        <v>149</v>
      </c>
      <c r="C80" s="95"/>
      <c r="D80" s="95"/>
      <c r="E80" s="96"/>
      <c r="F80" s="97" t="s">
        <v>58</v>
      </c>
      <c r="G80" s="98"/>
      <c r="H80" s="99">
        <v>-0.1</v>
      </c>
    </row>
    <row r="81" spans="2:9">
      <c r="B81" s="100" t="s">
        <v>59</v>
      </c>
      <c r="C81" s="101"/>
      <c r="D81" s="101"/>
      <c r="E81" s="102" t="s">
        <v>60</v>
      </c>
      <c r="F81" s="102"/>
      <c r="G81" s="102"/>
      <c r="H81" s="103"/>
    </row>
    <row r="82" ht="18.75" spans="2:9">
      <c r="B82" s="104" t="s">
        <v>61</v>
      </c>
      <c r="E82" s="105" t="s">
        <v>62</v>
      </c>
      <c r="F82" s="105"/>
      <c r="G82" s="105"/>
      <c r="H82" s="106"/>
    </row>
    <row r="83" ht="18.75" spans="2:9">
      <c r="B83" s="108" t="s">
        <v>63</v>
      </c>
      <c r="C83" s="109"/>
      <c r="D83" s="110"/>
      <c r="E83" s="110"/>
      <c r="F83" s="111"/>
      <c r="G83" s="111"/>
      <c r="H83" s="42"/>
    </row>
    <row r="84" spans="2:9">
      <c r="B84" s="112" t="s">
        <v>64</v>
      </c>
      <c r="C84" s="113"/>
      <c r="D84" s="113"/>
      <c r="E84" s="113"/>
      <c r="F84" s="114"/>
      <c r="G84" s="111"/>
      <c r="H84" s="42"/>
    </row>
    <row r="85" spans="2:9">
      <c r="B85" s="112" t="s">
        <v>65</v>
      </c>
      <c r="C85" s="113"/>
      <c r="D85" s="113"/>
      <c r="E85" s="113"/>
      <c r="F85" s="114"/>
      <c r="G85" s="111"/>
      <c r="H85" s="42"/>
      <c r="I85" s="59"/>
    </row>
    <row r="86" ht="3.75" customHeight="1" spans="2:9">
      <c r="B86" s="41"/>
      <c r="F86" s="111"/>
      <c r="G86" s="111"/>
      <c r="H86" s="42"/>
    </row>
    <row r="87" ht="29.25" customHeight="1" spans="2:9">
      <c r="B87" s="115" t="s">
        <v>66</v>
      </c>
      <c r="C87" s="116"/>
      <c r="D87" s="116"/>
      <c r="E87" s="116"/>
      <c r="F87" s="116"/>
      <c r="G87" s="116"/>
      <c r="H87" s="117" t="s">
        <v>67</v>
      </c>
    </row>
    <row r="88" spans="2:9">
      <c r="H88" s="118"/>
    </row>
    <row r="89" ht="18" customHeight="1" spans="2:9">
      <c r="B89" s="120" t="s">
        <v>69</v>
      </c>
      <c r="C89" s="120"/>
      <c r="D89" s="120"/>
      <c r="E89" s="120"/>
      <c r="F89" s="120"/>
      <c r="G89" s="120"/>
      <c r="H89" s="120"/>
    </row>
    <row r="90" ht="21" spans="2:9">
      <c r="B90" s="2" t="s">
        <v>1</v>
      </c>
      <c r="C90" s="3"/>
      <c r="D90" s="3"/>
      <c r="E90" s="3"/>
      <c r="F90" s="3"/>
      <c r="G90" s="3"/>
      <c r="H90" s="4"/>
    </row>
    <row r="91" ht="28.5" spans="2:9">
      <c r="B91" s="5" t="s">
        <v>2</v>
      </c>
      <c r="C91" s="6"/>
      <c r="D91" s="6"/>
      <c r="E91" s="6"/>
      <c r="F91" s="6"/>
      <c r="G91" s="6"/>
      <c r="H91" s="7"/>
    </row>
    <row r="92" spans="2:9">
      <c r="B92" s="8" t="s">
        <v>3</v>
      </c>
      <c r="C92" s="9"/>
      <c r="D92" s="9"/>
      <c r="E92" s="9"/>
      <c r="F92" s="9"/>
      <c r="G92" s="9"/>
      <c r="H92" s="10"/>
    </row>
    <row r="93" ht="21.75" spans="2:9">
      <c r="B93" s="11" t="s">
        <v>4</v>
      </c>
      <c r="C93" s="12"/>
      <c r="D93" s="12"/>
      <c r="E93" s="12"/>
      <c r="F93" s="12"/>
      <c r="G93" s="12"/>
      <c r="H93" s="13"/>
    </row>
    <row r="94" spans="2:9">
      <c r="B94" s="14" t="s">
        <v>5</v>
      </c>
      <c r="C94" s="15"/>
      <c r="D94" s="15"/>
      <c r="E94" s="15"/>
      <c r="F94" s="15"/>
      <c r="G94" s="15"/>
      <c r="H94" s="16"/>
    </row>
    <row r="95" spans="2:9">
      <c r="B95" s="17" t="s">
        <v>6</v>
      </c>
      <c r="C95" s="18"/>
      <c r="D95" s="18"/>
      <c r="E95" s="18"/>
      <c r="F95" s="18"/>
      <c r="G95" s="18"/>
      <c r="H95" s="19"/>
    </row>
    <row r="96" ht="15.75" customHeight="1" spans="2:9">
      <c r="B96" s="20" t="s">
        <v>7</v>
      </c>
      <c r="C96" s="21"/>
      <c r="D96" s="22" t="s">
        <v>8</v>
      </c>
      <c r="E96" s="23"/>
      <c r="F96" s="23"/>
      <c r="G96" s="23"/>
      <c r="H96" s="24"/>
    </row>
    <row r="97" ht="21" spans="2:8">
      <c r="B97" s="25" t="s">
        <v>9</v>
      </c>
      <c r="C97" s="21"/>
      <c r="D97" s="26" t="s">
        <v>10</v>
      </c>
      <c r="E97" s="26"/>
      <c r="F97" s="27" t="s">
        <v>136</v>
      </c>
      <c r="G97" s="28" t="s">
        <v>12</v>
      </c>
      <c r="H97" s="29">
        <v>46289</v>
      </c>
    </row>
    <row r="98" spans="2:8">
      <c r="B98" s="20" t="s">
        <v>13</v>
      </c>
      <c r="C98" s="21"/>
      <c r="D98" s="26" t="s">
        <v>14</v>
      </c>
      <c r="E98" s="26"/>
      <c r="F98" s="27" t="s">
        <v>136</v>
      </c>
      <c r="G98" s="28" t="s">
        <v>12</v>
      </c>
      <c r="H98" s="29">
        <v>46289</v>
      </c>
    </row>
    <row r="99" spans="2:8">
      <c r="B99" s="20" t="s">
        <v>15</v>
      </c>
      <c r="C99" s="21"/>
      <c r="D99" s="26" t="s">
        <v>16</v>
      </c>
      <c r="E99" s="26"/>
      <c r="F99" s="30"/>
      <c r="G99" s="31" t="s">
        <v>12</v>
      </c>
      <c r="H99" s="29"/>
    </row>
    <row r="100" spans="2:8">
      <c r="B100" s="20" t="s">
        <v>17</v>
      </c>
      <c r="C100" s="21"/>
      <c r="D100" s="26" t="s">
        <v>18</v>
      </c>
      <c r="E100" s="26"/>
      <c r="F100" s="32" t="s">
        <v>137</v>
      </c>
      <c r="G100" s="31" t="s">
        <v>12</v>
      </c>
      <c r="H100" s="29">
        <v>46287</v>
      </c>
    </row>
    <row r="101" spans="2:8">
      <c r="B101" s="20" t="s">
        <v>20</v>
      </c>
      <c r="C101" s="21"/>
      <c r="D101" s="26" t="s">
        <v>21</v>
      </c>
      <c r="E101" s="26"/>
      <c r="F101" s="33" t="s">
        <v>138</v>
      </c>
      <c r="G101" s="34" t="s">
        <v>12</v>
      </c>
      <c r="H101" s="29">
        <v>46289</v>
      </c>
    </row>
    <row r="102" spans="2:8">
      <c r="B102" s="35" t="s">
        <v>22</v>
      </c>
      <c r="C102" s="26"/>
      <c r="D102" s="26" t="s">
        <v>23</v>
      </c>
      <c r="E102" s="26"/>
      <c r="F102" s="21" t="s">
        <v>24</v>
      </c>
      <c r="G102" s="28" t="s">
        <v>25</v>
      </c>
      <c r="H102" s="36"/>
    </row>
    <row r="103" ht="15.75" spans="2:8">
      <c r="B103" s="37" t="s">
        <v>26</v>
      </c>
      <c r="C103" s="38"/>
      <c r="D103" s="38" t="s">
        <v>27</v>
      </c>
      <c r="E103" s="38"/>
      <c r="F103" s="38" t="s">
        <v>28</v>
      </c>
      <c r="G103" s="39" t="s">
        <v>106</v>
      </c>
      <c r="H103" s="40"/>
    </row>
    <row r="104" ht="3.75" customHeight="1" spans="2:8">
      <c r="B104" s="41"/>
      <c r="H104" s="42"/>
    </row>
    <row r="105" ht="39" spans="2:8">
      <c r="B105" s="43" t="s">
        <v>30</v>
      </c>
      <c r="C105" s="44" t="s">
        <v>31</v>
      </c>
      <c r="D105" s="45" t="s">
        <v>32</v>
      </c>
      <c r="E105" s="44" t="s">
        <v>33</v>
      </c>
      <c r="F105" s="44" t="s">
        <v>34</v>
      </c>
      <c r="G105" s="44" t="s">
        <v>35</v>
      </c>
      <c r="H105" s="46" t="s">
        <v>36</v>
      </c>
    </row>
    <row r="106" customHeight="1" spans="2:8">
      <c r="B106" s="47">
        <v>1</v>
      </c>
      <c r="C106" s="67" t="s">
        <v>139</v>
      </c>
      <c r="D106" s="58">
        <v>84663020</v>
      </c>
      <c r="E106" s="50" t="s">
        <v>39</v>
      </c>
      <c r="F106" s="51">
        <v>4</v>
      </c>
      <c r="G106" s="52">
        <v>6835</v>
      </c>
      <c r="H106" s="53">
        <f>SUM(F106*G106)</f>
        <v>27340</v>
      </c>
    </row>
    <row r="107" ht="21" spans="2:8">
      <c r="B107" s="54">
        <v>2</v>
      </c>
      <c r="C107" s="133" t="s">
        <v>140</v>
      </c>
      <c r="D107" s="146">
        <v>84663020</v>
      </c>
      <c r="E107" s="50" t="s">
        <v>39</v>
      </c>
      <c r="F107" s="51">
        <v>1</v>
      </c>
      <c r="G107" s="57">
        <v>4250</v>
      </c>
      <c r="H107" s="53">
        <f t="shared" ref="H107:H115" si="2">SUM(F107*G107)</f>
        <v>4250</v>
      </c>
    </row>
    <row r="108" ht="21" spans="2:8">
      <c r="B108" s="47">
        <v>3</v>
      </c>
      <c r="C108" s="119" t="s">
        <v>141</v>
      </c>
      <c r="D108" s="146">
        <v>84663020</v>
      </c>
      <c r="E108" s="50" t="s">
        <v>39</v>
      </c>
      <c r="F108" s="51">
        <v>1</v>
      </c>
      <c r="G108" s="57">
        <v>6145</v>
      </c>
      <c r="H108" s="53">
        <f t="shared" si="2"/>
        <v>6145</v>
      </c>
    </row>
    <row r="109" ht="21" spans="2:8">
      <c r="B109" s="54">
        <v>4</v>
      </c>
      <c r="C109" s="119" t="s">
        <v>142</v>
      </c>
      <c r="D109" s="146">
        <v>84663020</v>
      </c>
      <c r="E109" s="50" t="s">
        <v>39</v>
      </c>
      <c r="F109" s="51">
        <v>1</v>
      </c>
      <c r="G109" s="57">
        <v>3300</v>
      </c>
      <c r="H109" s="53">
        <f t="shared" si="2"/>
        <v>3300</v>
      </c>
    </row>
    <row r="110" ht="35.25" customHeight="1" spans="2:8">
      <c r="B110" s="54">
        <v>5</v>
      </c>
      <c r="C110" s="147" t="s">
        <v>143</v>
      </c>
      <c r="D110" s="146">
        <v>84663020</v>
      </c>
      <c r="E110" s="50" t="s">
        <v>39</v>
      </c>
      <c r="F110" s="51">
        <v>10</v>
      </c>
      <c r="G110" s="57">
        <v>5950</v>
      </c>
      <c r="H110" s="53">
        <f t="shared" si="2"/>
        <v>59500</v>
      </c>
    </row>
    <row r="111" ht="21" spans="2:8">
      <c r="B111" s="54">
        <v>6</v>
      </c>
      <c r="C111" s="148" t="s">
        <v>144</v>
      </c>
      <c r="D111" s="146">
        <v>84663020</v>
      </c>
      <c r="E111" s="50" t="s">
        <v>39</v>
      </c>
      <c r="F111" s="51">
        <v>4</v>
      </c>
      <c r="G111" s="57">
        <v>6835</v>
      </c>
      <c r="H111" s="53">
        <f t="shared" si="2"/>
        <v>27340</v>
      </c>
    </row>
    <row r="112" ht="22.5" spans="2:8">
      <c r="B112" s="62">
        <v>7</v>
      </c>
      <c r="C112" s="147" t="s">
        <v>145</v>
      </c>
      <c r="D112" s="146">
        <v>84663020</v>
      </c>
      <c r="E112" s="50" t="s">
        <v>39</v>
      </c>
      <c r="F112" s="51">
        <v>4</v>
      </c>
      <c r="G112" s="57">
        <v>5350</v>
      </c>
      <c r="H112" s="53">
        <f t="shared" si="2"/>
        <v>21400</v>
      </c>
    </row>
    <row r="113" ht="21" spans="2:8">
      <c r="B113" s="62">
        <v>8</v>
      </c>
      <c r="C113" s="149" t="s">
        <v>146</v>
      </c>
      <c r="D113" s="146">
        <v>84663020</v>
      </c>
      <c r="E113" s="50" t="s">
        <v>39</v>
      </c>
      <c r="F113" s="51">
        <v>2</v>
      </c>
      <c r="G113" s="57">
        <v>5200</v>
      </c>
      <c r="H113" s="53">
        <f t="shared" si="2"/>
        <v>10400</v>
      </c>
    </row>
    <row r="114" ht="21" spans="2:8">
      <c r="B114" s="62">
        <v>9</v>
      </c>
      <c r="C114" s="119" t="s">
        <v>147</v>
      </c>
      <c r="D114" s="146">
        <v>84663020</v>
      </c>
      <c r="E114" s="50" t="s">
        <v>39</v>
      </c>
      <c r="F114" s="51">
        <v>1</v>
      </c>
      <c r="G114" s="57">
        <v>6420</v>
      </c>
      <c r="H114" s="53">
        <f t="shared" si="2"/>
        <v>6420</v>
      </c>
    </row>
    <row r="115" ht="37.2" customHeight="1" spans="2:8">
      <c r="B115" s="54">
        <v>10</v>
      </c>
      <c r="C115" s="150" t="s">
        <v>148</v>
      </c>
      <c r="D115" s="146">
        <v>84663020</v>
      </c>
      <c r="E115" s="50" t="s">
        <v>39</v>
      </c>
      <c r="F115" s="151">
        <v>9</v>
      </c>
      <c r="G115" s="57">
        <v>12700</v>
      </c>
      <c r="H115" s="53">
        <f t="shared" si="2"/>
        <v>114300</v>
      </c>
    </row>
    <row r="116" ht="21" spans="2:8">
      <c r="B116" s="71" t="s">
        <v>42</v>
      </c>
      <c r="C116" s="72"/>
      <c r="D116" s="66" t="s">
        <v>43</v>
      </c>
      <c r="E116" s="73"/>
      <c r="F116" s="27">
        <f>SUM(F106:F115)</f>
        <v>37</v>
      </c>
      <c r="G116" s="21"/>
      <c r="H116" s="74"/>
    </row>
    <row r="117" spans="2:8">
      <c r="B117" s="75"/>
      <c r="C117" s="76"/>
      <c r="D117" s="76"/>
      <c r="E117" s="77"/>
      <c r="F117" s="26" t="s">
        <v>44</v>
      </c>
      <c r="G117" s="26"/>
      <c r="H117" s="78">
        <f>SUM(H106:H116)</f>
        <v>280395</v>
      </c>
    </row>
    <row r="118" spans="2:8">
      <c r="B118" s="79" t="s">
        <v>45</v>
      </c>
      <c r="C118" s="80"/>
      <c r="E118" s="81"/>
      <c r="F118" s="21" t="s">
        <v>46</v>
      </c>
      <c r="G118" s="82">
        <v>0.09</v>
      </c>
      <c r="H118" s="78">
        <f>SUM(H117*G118)</f>
        <v>25235.55</v>
      </c>
    </row>
    <row r="119" spans="2:8">
      <c r="B119" s="83" t="s">
        <v>47</v>
      </c>
      <c r="C119" s="84"/>
      <c r="E119" s="81"/>
      <c r="F119" s="21" t="s">
        <v>48</v>
      </c>
      <c r="G119" s="82">
        <v>0.09</v>
      </c>
      <c r="H119" s="78">
        <f>SUM(H117*G119)</f>
        <v>25235.55</v>
      </c>
    </row>
    <row r="120" spans="2:8">
      <c r="B120" s="83" t="s">
        <v>49</v>
      </c>
      <c r="C120" s="84"/>
      <c r="E120" s="81"/>
      <c r="F120" s="21" t="s">
        <v>50</v>
      </c>
      <c r="G120" s="82">
        <v>0.18</v>
      </c>
      <c r="H120" s="85" t="s">
        <v>51</v>
      </c>
    </row>
    <row r="121" spans="2:8">
      <c r="B121" s="83" t="s">
        <v>52</v>
      </c>
      <c r="C121" s="84"/>
      <c r="E121" s="81"/>
      <c r="F121" s="86" t="s">
        <v>53</v>
      </c>
      <c r="G121" s="87"/>
      <c r="H121" s="78">
        <f>SUM(H118:H120)</f>
        <v>50471.1</v>
      </c>
    </row>
    <row r="122" spans="2:8">
      <c r="B122" s="83" t="s">
        <v>54</v>
      </c>
      <c r="C122" s="84"/>
      <c r="E122" s="81"/>
      <c r="F122" s="88" t="s">
        <v>55</v>
      </c>
      <c r="G122" s="88"/>
      <c r="H122" s="89">
        <f>SUM(H117+H121+H124)</f>
        <v>330866</v>
      </c>
    </row>
    <row r="123" spans="2:8">
      <c r="B123" s="90"/>
      <c r="C123" s="91"/>
      <c r="D123" s="91"/>
      <c r="E123" s="92"/>
      <c r="F123" s="93" t="s">
        <v>56</v>
      </c>
      <c r="G123" s="93"/>
      <c r="H123" s="74"/>
    </row>
    <row r="124" ht="32.25" customHeight="1" spans="2:8">
      <c r="B124" s="94" t="s">
        <v>149</v>
      </c>
      <c r="C124" s="95"/>
      <c r="D124" s="95"/>
      <c r="E124" s="96"/>
      <c r="F124" s="97" t="s">
        <v>58</v>
      </c>
      <c r="G124" s="98"/>
      <c r="H124" s="99">
        <v>-0.1</v>
      </c>
    </row>
    <row r="125" spans="2:8">
      <c r="B125" s="100" t="s">
        <v>59</v>
      </c>
      <c r="C125" s="101"/>
      <c r="D125" s="101"/>
      <c r="E125" s="102" t="s">
        <v>60</v>
      </c>
      <c r="F125" s="102"/>
      <c r="G125" s="102"/>
      <c r="H125" s="103"/>
    </row>
    <row r="126" ht="18.75" spans="2:8">
      <c r="B126" s="104" t="s">
        <v>61</v>
      </c>
      <c r="E126" s="105" t="s">
        <v>62</v>
      </c>
      <c r="F126" s="105"/>
      <c r="G126" s="105"/>
      <c r="H126" s="106"/>
    </row>
    <row r="127" ht="18.75" spans="2:8">
      <c r="B127" s="108" t="s">
        <v>63</v>
      </c>
      <c r="C127" s="109"/>
      <c r="D127" s="110"/>
      <c r="E127" s="110"/>
      <c r="F127" s="111"/>
      <c r="G127" s="111"/>
      <c r="H127" s="42"/>
    </row>
    <row r="128" spans="2:8">
      <c r="B128" s="112" t="s">
        <v>64</v>
      </c>
      <c r="C128" s="113"/>
      <c r="D128" s="113"/>
      <c r="E128" s="113"/>
      <c r="F128" s="114"/>
      <c r="G128" s="111"/>
      <c r="H128" s="42"/>
    </row>
    <row r="129" spans="2:8">
      <c r="B129" s="112" t="s">
        <v>65</v>
      </c>
      <c r="C129" s="113"/>
      <c r="D129" s="113"/>
      <c r="E129" s="113"/>
      <c r="F129" s="114"/>
      <c r="G129" s="111"/>
      <c r="H129" s="42"/>
    </row>
    <row r="130" ht="4.5" customHeight="1" spans="2:8">
      <c r="B130" s="41"/>
      <c r="F130" s="111"/>
      <c r="G130" s="111"/>
      <c r="H130" s="42"/>
    </row>
    <row r="131" ht="15.75" spans="2:8">
      <c r="B131" s="115" t="s">
        <v>66</v>
      </c>
      <c r="C131" s="116"/>
      <c r="D131" s="116"/>
      <c r="E131" s="116"/>
      <c r="F131" s="116"/>
      <c r="G131" s="116"/>
      <c r="H131" s="117" t="s">
        <v>67</v>
      </c>
    </row>
  </sheetData>
  <mergeCells count="48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28:C28"/>
    <mergeCell ref="D28:E28"/>
    <mergeCell ref="F33:G33"/>
    <mergeCell ref="B36:E36"/>
    <mergeCell ref="F36:G36"/>
    <mergeCell ref="E37:H37"/>
    <mergeCell ref="E38:H38"/>
    <mergeCell ref="B45:H45"/>
    <mergeCell ref="B46:H46"/>
    <mergeCell ref="B47:H47"/>
    <mergeCell ref="B48:H48"/>
    <mergeCell ref="B49:H49"/>
    <mergeCell ref="B50:H50"/>
    <mergeCell ref="B51:H51"/>
    <mergeCell ref="D52:H52"/>
    <mergeCell ref="G58:H58"/>
    <mergeCell ref="B72:C72"/>
    <mergeCell ref="D72:E72"/>
    <mergeCell ref="F77:G77"/>
    <mergeCell ref="B80:E80"/>
    <mergeCell ref="F80:G80"/>
    <mergeCell ref="E81:H81"/>
    <mergeCell ref="E82:H82"/>
    <mergeCell ref="B89:H89"/>
    <mergeCell ref="B90:H90"/>
    <mergeCell ref="B91:H91"/>
    <mergeCell ref="B92:H92"/>
    <mergeCell ref="B93:H93"/>
    <mergeCell ref="B94:H94"/>
    <mergeCell ref="B95:H95"/>
    <mergeCell ref="D96:H96"/>
    <mergeCell ref="G102:H102"/>
    <mergeCell ref="B116:C116"/>
    <mergeCell ref="D116:E116"/>
    <mergeCell ref="F121:G121"/>
    <mergeCell ref="B124:E124"/>
    <mergeCell ref="F124:G124"/>
    <mergeCell ref="E125:H125"/>
    <mergeCell ref="E126:H126"/>
  </mergeCells>
  <pageMargins left="0.23" right="0.17" top="0.17" bottom="0.17" header="10.9" footer="0.79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44"/>
  <sheetViews>
    <sheetView topLeftCell="A8" workbookViewId="0">
      <selection activeCell="P15" sqref="P15"/>
    </sheetView>
  </sheetViews>
  <sheetFormatPr defaultColWidth="9" defaultRowHeight="15"/>
  <cols>
    <col min="1" max="1" width="1" customWidth="1"/>
    <col min="2" max="2" width="4.43809523809524" customWidth="1"/>
    <col min="3" max="3" width="41" customWidth="1"/>
    <col min="4" max="4" width="9.66666666666667" customWidth="1"/>
    <col min="5" max="5" width="7.43809523809524" customWidth="1"/>
    <col min="6" max="6" width="16.3333333333333" customWidth="1"/>
    <col min="7" max="7" width="10.4380952380952" customWidth="1"/>
    <col min="8" max="8" width="10.552380952381" customWidth="1"/>
    <col min="9" max="9" width="0.666666666666667" customWidth="1"/>
  </cols>
  <sheetData>
    <row r="1" ht="15.75" spans="2:15">
      <c r="B1" s="1" t="s">
        <v>0</v>
      </c>
      <c r="C1" s="1"/>
      <c r="D1" s="1"/>
      <c r="E1" s="1"/>
      <c r="F1" s="1"/>
      <c r="G1" s="1"/>
      <c r="H1" s="1"/>
    </row>
    <row r="2" ht="21" spans="2:15">
      <c r="B2" s="2" t="s">
        <v>1</v>
      </c>
      <c r="C2" s="3"/>
      <c r="D2" s="3"/>
      <c r="E2" s="3"/>
      <c r="F2" s="3"/>
      <c r="G2" s="3"/>
      <c r="H2" s="4"/>
    </row>
    <row r="3" ht="28.5" spans="2:15">
      <c r="B3" s="5" t="s">
        <v>2</v>
      </c>
      <c r="C3" s="6"/>
      <c r="D3" s="6"/>
      <c r="E3" s="6"/>
      <c r="F3" s="6"/>
      <c r="G3" s="6"/>
      <c r="H3" s="7"/>
    </row>
    <row r="4" spans="2:15">
      <c r="B4" s="8" t="s">
        <v>3</v>
      </c>
      <c r="C4" s="9"/>
      <c r="D4" s="9"/>
      <c r="E4" s="9"/>
      <c r="F4" s="9"/>
      <c r="G4" s="9"/>
      <c r="H4" s="10"/>
    </row>
    <row r="5" ht="21.75" spans="2:15">
      <c r="B5" s="11" t="s">
        <v>4</v>
      </c>
      <c r="C5" s="12"/>
      <c r="D5" s="12"/>
      <c r="E5" s="12"/>
      <c r="F5" s="12"/>
      <c r="G5" s="12"/>
      <c r="H5" s="13"/>
    </row>
    <row r="6" spans="2:15">
      <c r="B6" s="14" t="s">
        <v>5</v>
      </c>
      <c r="C6" s="15"/>
      <c r="D6" s="15"/>
      <c r="E6" s="15"/>
      <c r="F6" s="15"/>
      <c r="G6" s="15"/>
      <c r="H6" s="16"/>
    </row>
    <row r="7" spans="2:15">
      <c r="B7" s="17" t="s">
        <v>6</v>
      </c>
      <c r="C7" s="18"/>
      <c r="D7" s="18"/>
      <c r="E7" s="18"/>
      <c r="F7" s="18"/>
      <c r="G7" s="18"/>
      <c r="H7" s="19"/>
    </row>
    <row r="8" ht="15.75" customHeight="1" spans="2:15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15">
      <c r="B9" s="25" t="s">
        <v>9</v>
      </c>
      <c r="C9" s="21"/>
      <c r="D9" s="26" t="s">
        <v>10</v>
      </c>
      <c r="E9" s="26"/>
      <c r="F9" s="21" t="s">
        <v>150</v>
      </c>
      <c r="G9" s="31" t="s">
        <v>12</v>
      </c>
      <c r="H9" s="29">
        <v>46289</v>
      </c>
      <c r="O9" t="s">
        <v>37</v>
      </c>
    </row>
    <row r="10" spans="2:15">
      <c r="B10" s="20" t="s">
        <v>13</v>
      </c>
      <c r="C10" s="21"/>
      <c r="D10" s="26" t="s">
        <v>14</v>
      </c>
      <c r="E10" s="26"/>
      <c r="F10" s="21" t="s">
        <v>150</v>
      </c>
      <c r="G10" s="31" t="s">
        <v>12</v>
      </c>
      <c r="H10" s="29">
        <v>46289</v>
      </c>
    </row>
    <row r="11" spans="2:15">
      <c r="B11" s="20" t="s">
        <v>15</v>
      </c>
      <c r="C11" s="21"/>
      <c r="D11" s="26" t="s">
        <v>16</v>
      </c>
      <c r="E11" s="26"/>
      <c r="F11" s="121" t="s">
        <v>151</v>
      </c>
      <c r="G11" s="31" t="s">
        <v>12</v>
      </c>
      <c r="H11" s="29">
        <v>46173</v>
      </c>
    </row>
    <row r="12" spans="2:15">
      <c r="B12" s="20" t="s">
        <v>17</v>
      </c>
      <c r="C12" s="21"/>
      <c r="D12" s="26" t="s">
        <v>152</v>
      </c>
      <c r="E12" s="26"/>
      <c r="F12" s="122" t="s">
        <v>153</v>
      </c>
      <c r="G12" s="31" t="s">
        <v>12</v>
      </c>
      <c r="H12" s="29">
        <v>46277</v>
      </c>
    </row>
    <row r="13" spans="2:15">
      <c r="B13" s="20" t="s">
        <v>20</v>
      </c>
      <c r="C13" s="21"/>
      <c r="D13" s="26" t="s">
        <v>21</v>
      </c>
      <c r="E13" s="26"/>
      <c r="F13" s="21" t="s">
        <v>154</v>
      </c>
      <c r="G13" s="123" t="s">
        <v>12</v>
      </c>
      <c r="H13" s="124"/>
    </row>
    <row r="14" spans="2:15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15">
      <c r="B15" s="37" t="s">
        <v>26</v>
      </c>
      <c r="C15" s="38"/>
      <c r="D15" s="38" t="s">
        <v>27</v>
      </c>
      <c r="E15" s="38"/>
      <c r="F15" s="38" t="s">
        <v>28</v>
      </c>
      <c r="G15" s="39" t="s">
        <v>106</v>
      </c>
      <c r="H15" s="40"/>
      <c r="L15" t="s">
        <v>37</v>
      </c>
    </row>
    <row r="16" ht="3.75" customHeight="1"/>
    <row r="17" ht="30.75" spans="2:16">
      <c r="B17" s="125" t="s">
        <v>30</v>
      </c>
      <c r="C17" s="126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P17" t="s">
        <v>155</v>
      </c>
    </row>
    <row r="18" customHeight="1" spans="2:16">
      <c r="B18" s="127">
        <v>1</v>
      </c>
      <c r="C18" s="48" t="s">
        <v>156</v>
      </c>
      <c r="D18" s="128">
        <v>82072000</v>
      </c>
      <c r="E18" s="129" t="s">
        <v>39</v>
      </c>
      <c r="F18" s="130">
        <v>2</v>
      </c>
      <c r="G18" s="131">
        <v>6000</v>
      </c>
      <c r="H18" s="132">
        <f>SUM(F18*G18)</f>
        <v>12000</v>
      </c>
    </row>
    <row r="19" customHeight="1" spans="2:16">
      <c r="B19" s="62"/>
      <c r="C19" s="55" t="s">
        <v>157</v>
      </c>
      <c r="D19" s="128"/>
      <c r="E19" s="129"/>
      <c r="F19" s="130"/>
      <c r="G19" s="131"/>
      <c r="H19" s="132"/>
    </row>
    <row r="20" spans="2:16">
      <c r="B20" s="127"/>
      <c r="C20" s="133"/>
      <c r="D20" s="128"/>
      <c r="E20" s="129"/>
      <c r="F20" s="130"/>
      <c r="G20" s="131"/>
      <c r="H20" s="132"/>
    </row>
    <row r="21" spans="2:16">
      <c r="B21" s="62"/>
      <c r="C21" s="134"/>
      <c r="D21" s="128"/>
      <c r="E21" s="129"/>
      <c r="F21" s="130"/>
      <c r="G21" s="131"/>
      <c r="H21" s="132"/>
    </row>
    <row r="22" spans="2:16">
      <c r="B22" s="62"/>
      <c r="C22" s="134"/>
      <c r="D22" s="128"/>
      <c r="E22" s="129"/>
      <c r="F22" s="130"/>
      <c r="G22" s="131"/>
      <c r="H22" s="132"/>
    </row>
    <row r="23" spans="2:16">
      <c r="B23" s="127"/>
      <c r="C23" s="134"/>
      <c r="D23" s="128"/>
      <c r="E23" s="129"/>
      <c r="F23" s="130"/>
      <c r="G23" s="135"/>
      <c r="H23" s="132"/>
    </row>
    <row r="24" spans="2:16">
      <c r="B24" s="62"/>
      <c r="C24" s="134"/>
      <c r="D24" s="128"/>
      <c r="E24" s="129"/>
      <c r="F24" s="130"/>
      <c r="G24" s="131"/>
      <c r="H24" s="132"/>
    </row>
    <row r="25" spans="2:16">
      <c r="B25" s="62"/>
      <c r="C25" s="134"/>
      <c r="D25" s="128"/>
      <c r="E25" s="129"/>
      <c r="F25" s="130"/>
      <c r="G25" s="70"/>
      <c r="H25" s="132"/>
      <c r="O25" t="s">
        <v>37</v>
      </c>
    </row>
    <row r="26" spans="2:16">
      <c r="B26" s="62"/>
      <c r="C26" s="134"/>
      <c r="D26" s="128"/>
      <c r="E26" s="129"/>
      <c r="F26" s="130"/>
      <c r="G26" s="131"/>
      <c r="H26" s="132"/>
    </row>
    <row r="27" spans="2:16">
      <c r="B27" s="62"/>
      <c r="C27" s="121"/>
      <c r="D27" s="128"/>
      <c r="E27" s="129"/>
      <c r="F27" s="130"/>
      <c r="G27" s="70"/>
      <c r="H27" s="132"/>
    </row>
    <row r="28" spans="2:16">
      <c r="B28" s="62"/>
      <c r="C28" s="121"/>
      <c r="D28" s="27"/>
      <c r="E28" s="27"/>
      <c r="F28" s="66"/>
      <c r="G28" s="70"/>
      <c r="H28" s="132"/>
    </row>
    <row r="29" spans="2:16">
      <c r="B29" s="62"/>
      <c r="C29" s="121"/>
      <c r="D29" s="128"/>
      <c r="E29" s="129"/>
      <c r="F29" s="130"/>
      <c r="G29" s="21"/>
      <c r="H29" s="74"/>
    </row>
    <row r="30" spans="2:16">
      <c r="B30" s="54"/>
      <c r="C30" s="121"/>
      <c r="D30" s="128"/>
      <c r="E30" s="129"/>
      <c r="F30" s="130"/>
      <c r="G30" s="70"/>
      <c r="H30" s="132"/>
    </row>
    <row r="31" spans="2:16">
      <c r="B31" s="20"/>
      <c r="C31" s="121"/>
      <c r="D31" s="21"/>
      <c r="E31" s="21"/>
      <c r="F31" s="66"/>
      <c r="G31" s="21"/>
      <c r="H31" s="74"/>
    </row>
    <row r="32" ht="21" spans="2:16">
      <c r="B32" s="136" t="s">
        <v>158</v>
      </c>
      <c r="C32" s="137"/>
      <c r="D32" s="66" t="s">
        <v>43</v>
      </c>
      <c r="E32" s="73"/>
      <c r="F32" s="27">
        <f>SUM(F18:F31)</f>
        <v>2</v>
      </c>
      <c r="G32" s="21"/>
      <c r="H32" s="74"/>
    </row>
    <row r="33" spans="2:9">
      <c r="B33" s="75"/>
      <c r="C33" s="76"/>
      <c r="D33" s="76"/>
      <c r="E33" s="77"/>
      <c r="F33" s="26" t="s">
        <v>44</v>
      </c>
      <c r="G33" s="26"/>
      <c r="H33" s="78">
        <f>SUM(H18:H32)</f>
        <v>12000</v>
      </c>
    </row>
    <row r="34" spans="2:9">
      <c r="B34" s="79" t="s">
        <v>45</v>
      </c>
      <c r="C34" s="80"/>
      <c r="E34" s="81"/>
      <c r="F34" s="21" t="s">
        <v>46</v>
      </c>
      <c r="G34" s="82">
        <v>0.09</v>
      </c>
      <c r="H34" s="78">
        <f>SUM(H33*G34)</f>
        <v>1080</v>
      </c>
    </row>
    <row r="35" spans="2:9">
      <c r="B35" s="83" t="s">
        <v>47</v>
      </c>
      <c r="C35" s="84"/>
      <c r="E35" s="81"/>
      <c r="F35" s="21" t="s">
        <v>48</v>
      </c>
      <c r="G35" s="82">
        <v>0.09</v>
      </c>
      <c r="H35" s="78">
        <f>SUM(H33*G35)</f>
        <v>1080</v>
      </c>
    </row>
    <row r="36" spans="2:9">
      <c r="B36" s="83" t="s">
        <v>49</v>
      </c>
      <c r="C36" s="84"/>
      <c r="E36" s="81"/>
      <c r="F36" s="21" t="s">
        <v>50</v>
      </c>
      <c r="G36" s="82">
        <v>0.18</v>
      </c>
      <c r="H36" s="85" t="s">
        <v>51</v>
      </c>
    </row>
    <row r="37" spans="2:9">
      <c r="B37" s="83" t="s">
        <v>52</v>
      </c>
      <c r="C37" s="84"/>
      <c r="E37" s="81"/>
      <c r="F37" s="86" t="s">
        <v>53</v>
      </c>
      <c r="G37" s="87"/>
      <c r="H37" s="78">
        <f>SUM(H34:H36)</f>
        <v>2160</v>
      </c>
    </row>
    <row r="38" spans="2:9">
      <c r="B38" s="83" t="s">
        <v>54</v>
      </c>
      <c r="C38" s="84"/>
      <c r="E38" s="81"/>
      <c r="F38" s="88" t="s">
        <v>55</v>
      </c>
      <c r="G38" s="88"/>
      <c r="H38" s="89">
        <f>SUM(H33+H37+H40)</f>
        <v>14160</v>
      </c>
    </row>
    <row r="39" spans="2:9">
      <c r="B39" s="90"/>
      <c r="C39" s="91"/>
      <c r="D39" s="91"/>
      <c r="E39" s="92"/>
      <c r="F39" s="93" t="s">
        <v>56</v>
      </c>
      <c r="G39" s="93"/>
      <c r="H39" s="74"/>
    </row>
    <row r="40" ht="14.4" customHeight="1" spans="2:9">
      <c r="B40" s="138" t="s">
        <v>159</v>
      </c>
      <c r="C40" s="139"/>
      <c r="D40" s="139"/>
      <c r="E40" s="140"/>
      <c r="F40" s="86" t="s">
        <v>58</v>
      </c>
      <c r="G40" s="87"/>
      <c r="H40" s="74"/>
    </row>
    <row r="41" ht="15.75" spans="2:9">
      <c r="B41" s="141"/>
      <c r="C41" s="142"/>
      <c r="D41" s="142"/>
      <c r="E41" s="143"/>
      <c r="F41" s="144"/>
      <c r="G41" s="145"/>
      <c r="H41" s="40"/>
    </row>
    <row r="42" spans="2:9">
      <c r="B42" s="100" t="s">
        <v>59</v>
      </c>
      <c r="C42" s="101"/>
      <c r="D42" s="101"/>
      <c r="E42" s="102" t="s">
        <v>60</v>
      </c>
      <c r="F42" s="102"/>
      <c r="G42" s="102"/>
      <c r="H42" s="103"/>
      <c r="I42" s="107"/>
    </row>
    <row r="43" ht="18.75" spans="2:9">
      <c r="B43" s="104" t="s">
        <v>61</v>
      </c>
      <c r="E43" s="105" t="s">
        <v>62</v>
      </c>
      <c r="F43" s="105"/>
      <c r="G43" s="105"/>
      <c r="H43" s="106"/>
    </row>
    <row r="44" ht="18.75" spans="2:9">
      <c r="B44" s="108" t="s">
        <v>160</v>
      </c>
      <c r="C44" s="109"/>
      <c r="D44" s="110"/>
      <c r="E44" s="110"/>
      <c r="F44" s="111"/>
      <c r="G44" s="111"/>
      <c r="H44" s="42"/>
    </row>
    <row r="45" spans="2:9">
      <c r="B45" s="112" t="s">
        <v>64</v>
      </c>
      <c r="C45" s="113"/>
      <c r="D45" s="113"/>
      <c r="E45" s="113"/>
      <c r="F45" s="114"/>
      <c r="G45" s="111"/>
      <c r="H45" s="42"/>
    </row>
    <row r="46" spans="2:9">
      <c r="B46" s="112" t="s">
        <v>65</v>
      </c>
      <c r="C46" s="113"/>
      <c r="D46" s="113"/>
      <c r="E46" s="113"/>
      <c r="F46" s="114"/>
      <c r="G46" s="111"/>
      <c r="H46" s="42"/>
    </row>
    <row r="47" spans="2:9">
      <c r="B47" s="41"/>
      <c r="F47" s="111"/>
      <c r="G47" s="111"/>
      <c r="H47" s="42"/>
    </row>
    <row r="48" ht="15.75" spans="2:9">
      <c r="B48" s="115" t="s">
        <v>66</v>
      </c>
      <c r="C48" s="116"/>
      <c r="D48" s="116"/>
      <c r="E48" s="116"/>
      <c r="F48" s="116"/>
      <c r="G48" s="116"/>
      <c r="H48" s="117" t="s">
        <v>67</v>
      </c>
    </row>
    <row r="49" ht="15.75" spans="2:8">
      <c r="B49" s="1" t="s">
        <v>68</v>
      </c>
      <c r="C49" s="1"/>
      <c r="D49" s="1"/>
      <c r="E49" s="1"/>
      <c r="F49" s="1"/>
      <c r="G49" s="1"/>
      <c r="H49" s="1"/>
    </row>
    <row r="50" ht="21" spans="2:8">
      <c r="B50" s="2" t="s">
        <v>1</v>
      </c>
      <c r="C50" s="3"/>
      <c r="D50" s="3"/>
      <c r="E50" s="3"/>
      <c r="F50" s="3"/>
      <c r="G50" s="3"/>
      <c r="H50" s="4"/>
    </row>
    <row r="51" ht="28.5" spans="2:8">
      <c r="B51" s="5" t="s">
        <v>2</v>
      </c>
      <c r="C51" s="6"/>
      <c r="D51" s="6"/>
      <c r="E51" s="6"/>
      <c r="F51" s="6"/>
      <c r="G51" s="6"/>
      <c r="H51" s="7"/>
    </row>
    <row r="52" spans="2:8">
      <c r="B52" s="8" t="s">
        <v>3</v>
      </c>
      <c r="C52" s="9"/>
      <c r="D52" s="9"/>
      <c r="E52" s="9"/>
      <c r="F52" s="9"/>
      <c r="G52" s="9"/>
      <c r="H52" s="10"/>
    </row>
    <row r="53" ht="21.75" spans="2:8">
      <c r="B53" s="11" t="s">
        <v>4</v>
      </c>
      <c r="C53" s="12"/>
      <c r="D53" s="12"/>
      <c r="E53" s="12"/>
      <c r="F53" s="12"/>
      <c r="G53" s="12"/>
      <c r="H53" s="13"/>
    </row>
    <row r="54" spans="2:8">
      <c r="B54" s="14" t="s">
        <v>5</v>
      </c>
      <c r="C54" s="15"/>
      <c r="D54" s="15"/>
      <c r="E54" s="15"/>
      <c r="F54" s="15"/>
      <c r="G54" s="15"/>
      <c r="H54" s="16"/>
    </row>
    <row r="55" spans="2:8">
      <c r="B55" s="17" t="s">
        <v>6</v>
      </c>
      <c r="C55" s="18"/>
      <c r="D55" s="18"/>
      <c r="E55" s="18"/>
      <c r="F55" s="18"/>
      <c r="G55" s="18"/>
      <c r="H55" s="19"/>
    </row>
    <row r="56" ht="15.75" customHeight="1" spans="2:8">
      <c r="B56" s="20" t="s">
        <v>7</v>
      </c>
      <c r="C56" s="21"/>
      <c r="D56" s="22" t="s">
        <v>8</v>
      </c>
      <c r="E56" s="23"/>
      <c r="F56" s="23"/>
      <c r="G56" s="23"/>
      <c r="H56" s="24"/>
    </row>
    <row r="57" ht="21" spans="2:8">
      <c r="B57" s="25" t="s">
        <v>9</v>
      </c>
      <c r="C57" s="21"/>
      <c r="D57" s="26" t="s">
        <v>10</v>
      </c>
      <c r="E57" s="26"/>
      <c r="F57" s="21" t="s">
        <v>150</v>
      </c>
      <c r="G57" s="31" t="s">
        <v>12</v>
      </c>
      <c r="H57" s="29">
        <v>46289</v>
      </c>
    </row>
    <row r="58" spans="2:8">
      <c r="B58" s="20" t="s">
        <v>13</v>
      </c>
      <c r="C58" s="21"/>
      <c r="D58" s="26" t="s">
        <v>14</v>
      </c>
      <c r="E58" s="26"/>
      <c r="F58" s="21" t="s">
        <v>150</v>
      </c>
      <c r="G58" s="31" t="s">
        <v>12</v>
      </c>
      <c r="H58" s="29">
        <v>46289</v>
      </c>
    </row>
    <row r="59" spans="2:8">
      <c r="B59" s="20" t="s">
        <v>15</v>
      </c>
      <c r="C59" s="21"/>
      <c r="D59" s="26" t="s">
        <v>16</v>
      </c>
      <c r="E59" s="26"/>
      <c r="F59" s="121" t="s">
        <v>151</v>
      </c>
      <c r="G59" s="31" t="s">
        <v>12</v>
      </c>
      <c r="H59" s="29">
        <v>46173</v>
      </c>
    </row>
    <row r="60" spans="2:8">
      <c r="B60" s="20" t="s">
        <v>17</v>
      </c>
      <c r="C60" s="21"/>
      <c r="D60" s="26" t="s">
        <v>152</v>
      </c>
      <c r="E60" s="26"/>
      <c r="F60" s="122" t="s">
        <v>153</v>
      </c>
      <c r="G60" s="31" t="s">
        <v>12</v>
      </c>
      <c r="H60" s="29">
        <v>46277</v>
      </c>
    </row>
    <row r="61" spans="2:8">
      <c r="B61" s="20" t="s">
        <v>20</v>
      </c>
      <c r="C61" s="21"/>
      <c r="D61" s="26" t="s">
        <v>21</v>
      </c>
      <c r="E61" s="26"/>
      <c r="F61" s="21" t="s">
        <v>154</v>
      </c>
      <c r="G61" s="123" t="s">
        <v>12</v>
      </c>
      <c r="H61" s="124"/>
    </row>
    <row r="62" spans="2:8">
      <c r="B62" s="35" t="s">
        <v>22</v>
      </c>
      <c r="C62" s="26"/>
      <c r="D62" s="26" t="s">
        <v>23</v>
      </c>
      <c r="E62" s="26"/>
      <c r="F62" s="21" t="s">
        <v>24</v>
      </c>
      <c r="G62" s="28" t="s">
        <v>25</v>
      </c>
      <c r="H62" s="36"/>
    </row>
    <row r="63" ht="15.75" spans="2:8">
      <c r="B63" s="37" t="s">
        <v>26</v>
      </c>
      <c r="C63" s="38"/>
      <c r="D63" s="38" t="s">
        <v>27</v>
      </c>
      <c r="E63" s="38"/>
      <c r="F63" s="38" t="s">
        <v>28</v>
      </c>
      <c r="G63" s="39" t="s">
        <v>106</v>
      </c>
      <c r="H63" s="40"/>
    </row>
    <row r="64" ht="4.5" customHeight="1"/>
    <row r="65" ht="30.75" spans="2:8">
      <c r="B65" s="125" t="s">
        <v>30</v>
      </c>
      <c r="C65" s="126" t="s">
        <v>31</v>
      </c>
      <c r="D65" s="45" t="s">
        <v>32</v>
      </c>
      <c r="E65" s="44" t="s">
        <v>33</v>
      </c>
      <c r="F65" s="44" t="s">
        <v>34</v>
      </c>
      <c r="G65" s="44" t="s">
        <v>35</v>
      </c>
      <c r="H65" s="46" t="s">
        <v>36</v>
      </c>
    </row>
    <row r="66" customHeight="1" spans="2:8">
      <c r="B66" s="127">
        <v>1</v>
      </c>
      <c r="C66" s="48" t="s">
        <v>156</v>
      </c>
      <c r="D66" s="128">
        <v>82072000</v>
      </c>
      <c r="E66" s="129" t="s">
        <v>39</v>
      </c>
      <c r="F66" s="130">
        <v>2</v>
      </c>
      <c r="G66" s="131">
        <v>6000</v>
      </c>
      <c r="H66" s="132">
        <f>SUM(F66*G66)</f>
        <v>12000</v>
      </c>
    </row>
    <row r="67" spans="2:8">
      <c r="B67" s="62"/>
      <c r="C67" s="55" t="s">
        <v>157</v>
      </c>
      <c r="D67" s="128"/>
      <c r="E67" s="129"/>
      <c r="F67" s="130"/>
      <c r="G67" s="131"/>
      <c r="H67" s="132"/>
    </row>
    <row r="68" spans="2:8">
      <c r="B68" s="127"/>
      <c r="C68" s="133"/>
      <c r="D68" s="128"/>
      <c r="E68" s="129"/>
      <c r="F68" s="130"/>
      <c r="G68" s="131"/>
      <c r="H68" s="132"/>
    </row>
    <row r="69" spans="2:8">
      <c r="B69" s="62"/>
      <c r="C69" s="134"/>
      <c r="D69" s="128"/>
      <c r="E69" s="129"/>
      <c r="F69" s="130"/>
      <c r="G69" s="131"/>
      <c r="H69" s="132"/>
    </row>
    <row r="70" spans="2:8">
      <c r="B70" s="62"/>
      <c r="C70" s="134"/>
      <c r="D70" s="128"/>
      <c r="E70" s="129"/>
      <c r="F70" s="130"/>
      <c r="G70" s="131"/>
      <c r="H70" s="132"/>
    </row>
    <row r="71" spans="2:8">
      <c r="B71" s="127"/>
      <c r="C71" s="134"/>
      <c r="D71" s="128"/>
      <c r="E71" s="129"/>
      <c r="F71" s="130"/>
      <c r="G71" s="135"/>
      <c r="H71" s="132"/>
    </row>
    <row r="72" spans="2:8">
      <c r="B72" s="62"/>
      <c r="C72" s="134"/>
      <c r="D72" s="128"/>
      <c r="E72" s="129"/>
      <c r="F72" s="130"/>
      <c r="G72" s="131"/>
      <c r="H72" s="132"/>
    </row>
    <row r="73" spans="2:8">
      <c r="B73" s="62"/>
      <c r="C73" s="134"/>
      <c r="D73" s="128"/>
      <c r="E73" s="129"/>
      <c r="F73" s="130"/>
      <c r="G73" s="70"/>
      <c r="H73" s="132"/>
    </row>
    <row r="74" spans="2:8">
      <c r="B74" s="62"/>
      <c r="C74" s="134"/>
      <c r="D74" s="128"/>
      <c r="E74" s="129"/>
      <c r="F74" s="130"/>
      <c r="G74" s="131"/>
      <c r="H74" s="132"/>
    </row>
    <row r="75" spans="2:8">
      <c r="B75" s="62"/>
      <c r="C75" s="121"/>
      <c r="D75" s="128"/>
      <c r="E75" s="129"/>
      <c r="F75" s="130"/>
      <c r="G75" s="70"/>
      <c r="H75" s="132"/>
    </row>
    <row r="76" spans="2:8">
      <c r="B76" s="62"/>
      <c r="C76" s="121"/>
      <c r="D76" s="27"/>
      <c r="E76" s="27"/>
      <c r="F76" s="66"/>
      <c r="G76" s="70"/>
      <c r="H76" s="132"/>
    </row>
    <row r="77" spans="2:8">
      <c r="B77" s="62"/>
      <c r="C77" s="121"/>
      <c r="D77" s="128"/>
      <c r="E77" s="129"/>
      <c r="F77" s="130"/>
      <c r="G77" s="21"/>
      <c r="H77" s="74"/>
    </row>
    <row r="78" spans="2:8">
      <c r="B78" s="54"/>
      <c r="C78" s="121"/>
      <c r="D78" s="128"/>
      <c r="E78" s="129"/>
      <c r="F78" s="130"/>
      <c r="G78" s="70"/>
      <c r="H78" s="132"/>
    </row>
    <row r="79" spans="2:8">
      <c r="B79" s="20"/>
      <c r="C79" s="121"/>
      <c r="D79" s="21"/>
      <c r="E79" s="21"/>
      <c r="F79" s="66"/>
      <c r="G79" s="21"/>
      <c r="H79" s="74"/>
    </row>
    <row r="80" ht="21" spans="2:8">
      <c r="B80" s="136" t="s">
        <v>158</v>
      </c>
      <c r="C80" s="137"/>
      <c r="D80" s="66" t="s">
        <v>43</v>
      </c>
      <c r="E80" s="73"/>
      <c r="F80" s="27">
        <f>SUM(F66:F79)</f>
        <v>2</v>
      </c>
      <c r="G80" s="21"/>
      <c r="H80" s="74"/>
    </row>
    <row r="81" spans="2:8">
      <c r="B81" s="75"/>
      <c r="C81" s="76"/>
      <c r="D81" s="76"/>
      <c r="E81" s="77"/>
      <c r="F81" s="26" t="s">
        <v>44</v>
      </c>
      <c r="G81" s="26"/>
      <c r="H81" s="78">
        <f>SUM(H66:H80)</f>
        <v>12000</v>
      </c>
    </row>
    <row r="82" spans="2:8">
      <c r="B82" s="79" t="s">
        <v>45</v>
      </c>
      <c r="C82" s="80"/>
      <c r="E82" s="81"/>
      <c r="F82" s="21" t="s">
        <v>46</v>
      </c>
      <c r="G82" s="82">
        <v>0.09</v>
      </c>
      <c r="H82" s="78">
        <f>SUM(H81*G82)</f>
        <v>1080</v>
      </c>
    </row>
    <row r="83" spans="2:8">
      <c r="B83" s="83" t="s">
        <v>47</v>
      </c>
      <c r="C83" s="84"/>
      <c r="E83" s="81"/>
      <c r="F83" s="21" t="s">
        <v>48</v>
      </c>
      <c r="G83" s="82">
        <v>0.09</v>
      </c>
      <c r="H83" s="78">
        <f>SUM(H81*G83)</f>
        <v>1080</v>
      </c>
    </row>
    <row r="84" spans="2:8">
      <c r="B84" s="83" t="s">
        <v>49</v>
      </c>
      <c r="C84" s="84"/>
      <c r="E84" s="81"/>
      <c r="F84" s="21" t="s">
        <v>50</v>
      </c>
      <c r="G84" s="82">
        <v>0.18</v>
      </c>
      <c r="H84" s="85" t="s">
        <v>51</v>
      </c>
    </row>
    <row r="85" spans="2:8">
      <c r="B85" s="83" t="s">
        <v>52</v>
      </c>
      <c r="C85" s="84"/>
      <c r="E85" s="81"/>
      <c r="F85" s="86" t="s">
        <v>53</v>
      </c>
      <c r="G85" s="87"/>
      <c r="H85" s="78">
        <f>SUM(H82:H84)</f>
        <v>2160</v>
      </c>
    </row>
    <row r="86" spans="2:8">
      <c r="B86" s="83" t="s">
        <v>54</v>
      </c>
      <c r="C86" s="84"/>
      <c r="E86" s="81"/>
      <c r="F86" s="88" t="s">
        <v>55</v>
      </c>
      <c r="G86" s="88"/>
      <c r="H86" s="89">
        <f>SUM(H81+H85+H88)</f>
        <v>14160</v>
      </c>
    </row>
    <row r="87" spans="2:8">
      <c r="B87" s="90"/>
      <c r="C87" s="91"/>
      <c r="D87" s="91"/>
      <c r="E87" s="92"/>
      <c r="F87" s="93" t="s">
        <v>56</v>
      </c>
      <c r="G87" s="93"/>
      <c r="H87" s="74"/>
    </row>
    <row r="88" customHeight="1" spans="2:8">
      <c r="B88" s="138" t="s">
        <v>159</v>
      </c>
      <c r="C88" s="139"/>
      <c r="D88" s="139"/>
      <c r="E88" s="140"/>
      <c r="F88" s="86" t="s">
        <v>58</v>
      </c>
      <c r="G88" s="87"/>
      <c r="H88" s="74"/>
    </row>
    <row r="89" ht="15.75" spans="2:8">
      <c r="B89" s="141"/>
      <c r="C89" s="142"/>
      <c r="D89" s="142"/>
      <c r="E89" s="143"/>
      <c r="F89" s="144"/>
      <c r="G89" s="145"/>
      <c r="H89" s="40"/>
    </row>
    <row r="90" spans="2:8">
      <c r="B90" s="100" t="s">
        <v>59</v>
      </c>
      <c r="C90" s="101"/>
      <c r="D90" s="101"/>
      <c r="E90" s="102" t="s">
        <v>60</v>
      </c>
      <c r="F90" s="102"/>
      <c r="G90" s="102"/>
      <c r="H90" s="103"/>
    </row>
    <row r="91" ht="18.75" spans="2:8">
      <c r="B91" s="104" t="s">
        <v>61</v>
      </c>
      <c r="E91" s="105" t="s">
        <v>62</v>
      </c>
      <c r="F91" s="105"/>
      <c r="G91" s="105"/>
      <c r="H91" s="106"/>
    </row>
    <row r="92" ht="18.75" spans="2:8">
      <c r="B92" s="108" t="s">
        <v>160</v>
      </c>
      <c r="C92" s="109"/>
      <c r="D92" s="110"/>
      <c r="E92" s="110"/>
      <c r="F92" s="111"/>
      <c r="G92" s="111"/>
      <c r="H92" s="42"/>
    </row>
    <row r="93" spans="2:8">
      <c r="B93" s="112" t="s">
        <v>64</v>
      </c>
      <c r="C93" s="113"/>
      <c r="D93" s="113"/>
      <c r="E93" s="113"/>
      <c r="F93" s="114"/>
      <c r="G93" s="111"/>
      <c r="H93" s="42"/>
    </row>
    <row r="94" spans="2:8">
      <c r="B94" s="112" t="s">
        <v>65</v>
      </c>
      <c r="C94" s="113"/>
      <c r="D94" s="113"/>
      <c r="E94" s="113"/>
      <c r="F94" s="114"/>
      <c r="G94" s="111"/>
      <c r="H94" s="42"/>
    </row>
    <row r="95" ht="15.75" customHeight="1" spans="2:8">
      <c r="B95" s="41"/>
      <c r="F95" s="111"/>
      <c r="G95" s="111"/>
      <c r="H95" s="42"/>
    </row>
    <row r="96" ht="15.75" spans="2:8">
      <c r="B96" s="115" t="s">
        <v>66</v>
      </c>
      <c r="C96" s="116"/>
      <c r="D96" s="116"/>
      <c r="E96" s="116"/>
      <c r="F96" s="116"/>
      <c r="G96" s="116"/>
      <c r="H96" s="117" t="s">
        <v>67</v>
      </c>
    </row>
    <row r="97" ht="18.75" customHeight="1" spans="2:8">
      <c r="B97" s="1" t="s">
        <v>69</v>
      </c>
      <c r="C97" s="1"/>
      <c r="D97" s="1"/>
      <c r="E97" s="1"/>
      <c r="F97" s="1"/>
      <c r="G97" s="1"/>
      <c r="H97" s="1"/>
    </row>
    <row r="98" ht="21" spans="2:8">
      <c r="B98" s="2" t="s">
        <v>1</v>
      </c>
      <c r="C98" s="3"/>
      <c r="D98" s="3"/>
      <c r="E98" s="3"/>
      <c r="F98" s="3"/>
      <c r="G98" s="3"/>
      <c r="H98" s="4"/>
    </row>
    <row r="99" ht="28.5" spans="2:8">
      <c r="B99" s="5" t="s">
        <v>2</v>
      </c>
      <c r="C99" s="6"/>
      <c r="D99" s="6"/>
      <c r="E99" s="6"/>
      <c r="F99" s="6"/>
      <c r="G99" s="6"/>
      <c r="H99" s="7"/>
    </row>
    <row r="100" spans="2:8">
      <c r="B100" s="8" t="s">
        <v>3</v>
      </c>
      <c r="C100" s="9"/>
      <c r="D100" s="9"/>
      <c r="E100" s="9"/>
      <c r="F100" s="9"/>
      <c r="G100" s="9"/>
      <c r="H100" s="10"/>
    </row>
    <row r="101" ht="21.75" spans="2:8">
      <c r="B101" s="11" t="s">
        <v>4</v>
      </c>
      <c r="C101" s="12"/>
      <c r="D101" s="12"/>
      <c r="E101" s="12"/>
      <c r="F101" s="12"/>
      <c r="G101" s="12"/>
      <c r="H101" s="13"/>
    </row>
    <row r="102" spans="2:8">
      <c r="B102" s="14" t="s">
        <v>5</v>
      </c>
      <c r="C102" s="15"/>
      <c r="D102" s="15"/>
      <c r="E102" s="15"/>
      <c r="F102" s="15"/>
      <c r="G102" s="15"/>
      <c r="H102" s="16"/>
    </row>
    <row r="103" spans="2:8">
      <c r="B103" s="17" t="s">
        <v>6</v>
      </c>
      <c r="C103" s="18"/>
      <c r="D103" s="18"/>
      <c r="E103" s="18"/>
      <c r="F103" s="18"/>
      <c r="G103" s="18"/>
      <c r="H103" s="19"/>
    </row>
    <row r="104" ht="15.75" customHeight="1" spans="2:8">
      <c r="B104" s="20" t="s">
        <v>7</v>
      </c>
      <c r="C104" s="21"/>
      <c r="D104" s="22" t="s">
        <v>8</v>
      </c>
      <c r="E104" s="23"/>
      <c r="F104" s="23"/>
      <c r="G104" s="23"/>
      <c r="H104" s="24"/>
    </row>
    <row r="105" ht="21" spans="2:8">
      <c r="B105" s="25" t="s">
        <v>9</v>
      </c>
      <c r="C105" s="21"/>
      <c r="D105" s="26" t="s">
        <v>10</v>
      </c>
      <c r="E105" s="26"/>
      <c r="F105" s="21" t="s">
        <v>150</v>
      </c>
      <c r="G105" s="31" t="s">
        <v>12</v>
      </c>
      <c r="H105" s="29">
        <v>46289</v>
      </c>
    </row>
    <row r="106" spans="2:8">
      <c r="B106" s="20" t="s">
        <v>13</v>
      </c>
      <c r="C106" s="21"/>
      <c r="D106" s="26" t="s">
        <v>14</v>
      </c>
      <c r="E106" s="26"/>
      <c r="F106" s="21" t="s">
        <v>150</v>
      </c>
      <c r="G106" s="31" t="s">
        <v>12</v>
      </c>
      <c r="H106" s="29">
        <v>46289</v>
      </c>
    </row>
    <row r="107" spans="2:8">
      <c r="B107" s="20" t="s">
        <v>15</v>
      </c>
      <c r="C107" s="21"/>
      <c r="D107" s="26" t="s">
        <v>16</v>
      </c>
      <c r="E107" s="26"/>
      <c r="F107" s="121" t="s">
        <v>151</v>
      </c>
      <c r="G107" s="31" t="s">
        <v>12</v>
      </c>
      <c r="H107" s="29">
        <v>46173</v>
      </c>
    </row>
    <row r="108" spans="2:8">
      <c r="B108" s="20" t="s">
        <v>17</v>
      </c>
      <c r="C108" s="21"/>
      <c r="D108" s="26" t="s">
        <v>152</v>
      </c>
      <c r="E108" s="26"/>
      <c r="F108" s="122" t="s">
        <v>153</v>
      </c>
      <c r="G108" s="31" t="s">
        <v>12</v>
      </c>
      <c r="H108" s="29">
        <v>46277</v>
      </c>
    </row>
    <row r="109" spans="2:8">
      <c r="B109" s="20" t="s">
        <v>20</v>
      </c>
      <c r="C109" s="21"/>
      <c r="D109" s="26" t="s">
        <v>21</v>
      </c>
      <c r="E109" s="26"/>
      <c r="F109" s="21" t="s">
        <v>154</v>
      </c>
      <c r="G109" s="123" t="s">
        <v>12</v>
      </c>
      <c r="H109" s="124"/>
    </row>
    <row r="110" spans="2:8">
      <c r="B110" s="35" t="s">
        <v>22</v>
      </c>
      <c r="C110" s="26"/>
      <c r="D110" s="26" t="s">
        <v>23</v>
      </c>
      <c r="E110" s="26"/>
      <c r="F110" s="21" t="s">
        <v>24</v>
      </c>
      <c r="G110" s="28" t="s">
        <v>25</v>
      </c>
      <c r="H110" s="36"/>
    </row>
    <row r="111" ht="15.75" spans="2:8">
      <c r="B111" s="37" t="s">
        <v>26</v>
      </c>
      <c r="C111" s="38"/>
      <c r="D111" s="38" t="s">
        <v>27</v>
      </c>
      <c r="E111" s="38"/>
      <c r="F111" s="38" t="s">
        <v>28</v>
      </c>
      <c r="G111" s="39" t="s">
        <v>106</v>
      </c>
      <c r="H111" s="40"/>
    </row>
    <row r="112" ht="3.75" customHeight="1"/>
    <row r="113" ht="30.75" spans="2:8">
      <c r="B113" s="125" t="s">
        <v>30</v>
      </c>
      <c r="C113" s="126" t="s">
        <v>31</v>
      </c>
      <c r="D113" s="45" t="s">
        <v>32</v>
      </c>
      <c r="E113" s="44" t="s">
        <v>33</v>
      </c>
      <c r="F113" s="44" t="s">
        <v>34</v>
      </c>
      <c r="G113" s="44" t="s">
        <v>35</v>
      </c>
      <c r="H113" s="46" t="s">
        <v>36</v>
      </c>
    </row>
    <row r="114" customHeight="1" spans="2:8">
      <c r="B114" s="127">
        <v>1</v>
      </c>
      <c r="C114" s="48" t="s">
        <v>156</v>
      </c>
      <c r="D114" s="128">
        <v>82072000</v>
      </c>
      <c r="E114" s="129" t="s">
        <v>39</v>
      </c>
      <c r="F114" s="130">
        <v>2</v>
      </c>
      <c r="G114" s="131">
        <v>6000</v>
      </c>
      <c r="H114" s="132">
        <f>SUM(F114*G114)</f>
        <v>12000</v>
      </c>
    </row>
    <row r="115" spans="2:8">
      <c r="B115" s="62"/>
      <c r="C115" s="55" t="s">
        <v>157</v>
      </c>
      <c r="D115" s="128"/>
      <c r="E115" s="129"/>
      <c r="F115" s="130"/>
      <c r="G115" s="131"/>
      <c r="H115" s="132"/>
    </row>
    <row r="116" spans="2:8">
      <c r="B116" s="127"/>
      <c r="C116" s="133"/>
      <c r="D116" s="128"/>
      <c r="E116" s="129"/>
      <c r="F116" s="130"/>
      <c r="G116" s="131"/>
      <c r="H116" s="132"/>
    </row>
    <row r="117" customHeight="1" spans="2:8">
      <c r="B117" s="62"/>
      <c r="C117" s="134"/>
      <c r="D117" s="128"/>
      <c r="E117" s="129"/>
      <c r="F117" s="130"/>
      <c r="G117" s="131"/>
      <c r="H117" s="132"/>
    </row>
    <row r="118" spans="2:8">
      <c r="B118" s="62"/>
      <c r="C118" s="134"/>
      <c r="D118" s="128"/>
      <c r="E118" s="129"/>
      <c r="F118" s="130"/>
      <c r="G118" s="131"/>
      <c r="H118" s="132"/>
    </row>
    <row r="119" spans="2:8">
      <c r="B119" s="127"/>
      <c r="C119" s="134"/>
      <c r="D119" s="128"/>
      <c r="E119" s="129"/>
      <c r="F119" s="130"/>
      <c r="G119" s="135"/>
      <c r="H119" s="132"/>
    </row>
    <row r="120" spans="2:8">
      <c r="B120" s="62"/>
      <c r="C120" s="134"/>
      <c r="D120" s="128"/>
      <c r="E120" s="129"/>
      <c r="F120" s="130"/>
      <c r="G120" s="131"/>
      <c r="H120" s="132"/>
    </row>
    <row r="121" spans="2:8">
      <c r="B121" s="62"/>
      <c r="C121" s="134"/>
      <c r="D121" s="128"/>
      <c r="E121" s="129"/>
      <c r="F121" s="130"/>
      <c r="G121" s="70"/>
      <c r="H121" s="132"/>
    </row>
    <row r="122" spans="2:8">
      <c r="B122" s="62"/>
      <c r="C122" s="134"/>
      <c r="D122" s="128"/>
      <c r="E122" s="129"/>
      <c r="F122" s="130"/>
      <c r="G122" s="131"/>
      <c r="H122" s="132"/>
    </row>
    <row r="123" spans="2:8">
      <c r="B123" s="62"/>
      <c r="C123" s="121"/>
      <c r="D123" s="128"/>
      <c r="E123" s="129"/>
      <c r="F123" s="130"/>
      <c r="G123" s="70"/>
      <c r="H123" s="132"/>
    </row>
    <row r="124" spans="2:8">
      <c r="B124" s="62"/>
      <c r="C124" s="121"/>
      <c r="D124" s="27"/>
      <c r="E124" s="27"/>
      <c r="F124" s="66"/>
      <c r="G124" s="70"/>
      <c r="H124" s="132"/>
    </row>
    <row r="125" spans="2:8">
      <c r="B125" s="62"/>
      <c r="C125" s="121"/>
      <c r="D125" s="128"/>
      <c r="E125" s="129"/>
      <c r="F125" s="130"/>
      <c r="G125" s="21"/>
      <c r="H125" s="74"/>
    </row>
    <row r="126" spans="2:8">
      <c r="B126" s="54"/>
      <c r="C126" s="121"/>
      <c r="D126" s="128"/>
      <c r="E126" s="129"/>
      <c r="F126" s="130"/>
      <c r="G126" s="70"/>
      <c r="H126" s="132"/>
    </row>
    <row r="127" spans="2:8">
      <c r="B127" s="20"/>
      <c r="C127" s="121"/>
      <c r="D127" s="21"/>
      <c r="E127" s="21"/>
      <c r="F127" s="66"/>
      <c r="G127" s="21"/>
      <c r="H127" s="74"/>
    </row>
    <row r="128" ht="21" spans="2:8">
      <c r="B128" s="136" t="s">
        <v>158</v>
      </c>
      <c r="C128" s="137"/>
      <c r="D128" s="66" t="s">
        <v>43</v>
      </c>
      <c r="E128" s="73"/>
      <c r="F128" s="27">
        <f>SUM(F114:F127)</f>
        <v>2</v>
      </c>
      <c r="G128" s="21"/>
      <c r="H128" s="74"/>
    </row>
    <row r="129" spans="2:8">
      <c r="B129" s="75"/>
      <c r="C129" s="76"/>
      <c r="D129" s="76"/>
      <c r="E129" s="77"/>
      <c r="F129" s="26" t="s">
        <v>44</v>
      </c>
      <c r="G129" s="26"/>
      <c r="H129" s="78">
        <f>SUM(H114:H128)</f>
        <v>12000</v>
      </c>
    </row>
    <row r="130" spans="2:8">
      <c r="B130" s="79" t="s">
        <v>45</v>
      </c>
      <c r="C130" s="80"/>
      <c r="E130" s="81"/>
      <c r="F130" s="21" t="s">
        <v>46</v>
      </c>
      <c r="G130" s="82">
        <v>0.09</v>
      </c>
      <c r="H130" s="78">
        <f>SUM(H129*G130)</f>
        <v>1080</v>
      </c>
    </row>
    <row r="131" spans="2:8">
      <c r="B131" s="83" t="s">
        <v>47</v>
      </c>
      <c r="C131" s="84"/>
      <c r="E131" s="81"/>
      <c r="F131" s="21" t="s">
        <v>48</v>
      </c>
      <c r="G131" s="82">
        <v>0.09</v>
      </c>
      <c r="H131" s="78">
        <f>SUM(H129*G131)</f>
        <v>1080</v>
      </c>
    </row>
    <row r="132" spans="2:8">
      <c r="B132" s="83" t="s">
        <v>49</v>
      </c>
      <c r="C132" s="84"/>
      <c r="E132" s="81"/>
      <c r="F132" s="21" t="s">
        <v>50</v>
      </c>
      <c r="G132" s="82">
        <v>0.18</v>
      </c>
      <c r="H132" s="85" t="s">
        <v>51</v>
      </c>
    </row>
    <row r="133" spans="2:8">
      <c r="B133" s="83" t="s">
        <v>52</v>
      </c>
      <c r="C133" s="84"/>
      <c r="E133" s="81"/>
      <c r="F133" s="86" t="s">
        <v>53</v>
      </c>
      <c r="G133" s="87"/>
      <c r="H133" s="78">
        <f>SUM(H130:H132)</f>
        <v>2160</v>
      </c>
    </row>
    <row r="134" spans="2:8">
      <c r="B134" s="83" t="s">
        <v>54</v>
      </c>
      <c r="C134" s="84"/>
      <c r="E134" s="81"/>
      <c r="F134" s="88" t="s">
        <v>55</v>
      </c>
      <c r="G134" s="88"/>
      <c r="H134" s="89">
        <f>SUM(H129+H133+H136)</f>
        <v>14160</v>
      </c>
    </row>
    <row r="135" spans="2:8">
      <c r="B135" s="90"/>
      <c r="C135" s="91"/>
      <c r="D135" s="91"/>
      <c r="E135" s="92"/>
      <c r="F135" s="93" t="s">
        <v>56</v>
      </c>
      <c r="G135" s="93"/>
      <c r="H135" s="74"/>
    </row>
    <row r="136" customHeight="1" spans="2:8">
      <c r="B136" s="138" t="s">
        <v>159</v>
      </c>
      <c r="C136" s="139"/>
      <c r="D136" s="139"/>
      <c r="E136" s="140"/>
      <c r="F136" s="86" t="s">
        <v>58</v>
      </c>
      <c r="G136" s="87"/>
      <c r="H136" s="74"/>
    </row>
    <row r="137" ht="15.75" spans="2:8">
      <c r="B137" s="141"/>
      <c r="C137" s="142"/>
      <c r="D137" s="142"/>
      <c r="E137" s="143"/>
      <c r="F137" s="144"/>
      <c r="G137" s="145"/>
      <c r="H137" s="40"/>
    </row>
    <row r="138" spans="2:8">
      <c r="B138" s="100" t="s">
        <v>59</v>
      </c>
      <c r="C138" s="101"/>
      <c r="D138" s="101"/>
      <c r="E138" s="102" t="s">
        <v>60</v>
      </c>
      <c r="F138" s="102"/>
      <c r="G138" s="102"/>
      <c r="H138" s="103"/>
    </row>
    <row r="139" ht="18.75" spans="2:8">
      <c r="B139" s="104" t="s">
        <v>61</v>
      </c>
      <c r="E139" s="105" t="s">
        <v>62</v>
      </c>
      <c r="F139" s="105"/>
      <c r="G139" s="105"/>
      <c r="H139" s="106"/>
    </row>
    <row r="140" ht="18.75" spans="2:8">
      <c r="B140" s="108" t="s">
        <v>160</v>
      </c>
      <c r="C140" s="109"/>
      <c r="D140" s="110"/>
      <c r="E140" s="110"/>
      <c r="F140" s="111"/>
      <c r="G140" s="111"/>
      <c r="H140" s="42"/>
    </row>
    <row r="141" spans="2:8">
      <c r="B141" s="112" t="s">
        <v>64</v>
      </c>
      <c r="C141" s="113"/>
      <c r="D141" s="113"/>
      <c r="E141" s="113"/>
      <c r="F141" s="114"/>
      <c r="G141" s="111"/>
      <c r="H141" s="42"/>
    </row>
    <row r="142" spans="2:8">
      <c r="B142" s="112" t="s">
        <v>65</v>
      </c>
      <c r="C142" s="113"/>
      <c r="D142" s="113"/>
      <c r="E142" s="113"/>
      <c r="F142" s="114"/>
      <c r="G142" s="111"/>
      <c r="H142" s="42"/>
    </row>
    <row r="143" spans="2:8">
      <c r="B143" s="41"/>
      <c r="F143" s="111"/>
      <c r="G143" s="111"/>
      <c r="H143" s="42"/>
    </row>
    <row r="144" ht="15.75" spans="2:8">
      <c r="B144" s="115" t="s">
        <v>66</v>
      </c>
      <c r="C144" s="116"/>
      <c r="D144" s="116"/>
      <c r="E144" s="116"/>
      <c r="F144" s="116"/>
      <c r="G144" s="116"/>
      <c r="H144" s="117" t="s">
        <v>67</v>
      </c>
    </row>
  </sheetData>
  <mergeCells count="51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2:C32"/>
    <mergeCell ref="D32:E32"/>
    <mergeCell ref="F37:G37"/>
    <mergeCell ref="F40:G40"/>
    <mergeCell ref="F41:G41"/>
    <mergeCell ref="E42:H42"/>
    <mergeCell ref="E43:H43"/>
    <mergeCell ref="B49:H49"/>
    <mergeCell ref="B50:H50"/>
    <mergeCell ref="B51:H51"/>
    <mergeCell ref="B52:H52"/>
    <mergeCell ref="B53:H53"/>
    <mergeCell ref="B54:H54"/>
    <mergeCell ref="B55:H55"/>
    <mergeCell ref="D56:H56"/>
    <mergeCell ref="G62:H62"/>
    <mergeCell ref="B80:C80"/>
    <mergeCell ref="D80:E80"/>
    <mergeCell ref="F85:G85"/>
    <mergeCell ref="F88:G88"/>
    <mergeCell ref="F89:G89"/>
    <mergeCell ref="E90:H90"/>
    <mergeCell ref="E91:H91"/>
    <mergeCell ref="B97:H97"/>
    <mergeCell ref="B98:H98"/>
    <mergeCell ref="B99:H99"/>
    <mergeCell ref="B100:H100"/>
    <mergeCell ref="B101:H101"/>
    <mergeCell ref="B102:H102"/>
    <mergeCell ref="B103:H103"/>
    <mergeCell ref="D104:H104"/>
    <mergeCell ref="G110:H110"/>
    <mergeCell ref="B128:C128"/>
    <mergeCell ref="D128:E128"/>
    <mergeCell ref="F133:G133"/>
    <mergeCell ref="F136:G136"/>
    <mergeCell ref="F137:G137"/>
    <mergeCell ref="E138:H138"/>
    <mergeCell ref="E139:H139"/>
    <mergeCell ref="B40:E41"/>
    <mergeCell ref="B88:E89"/>
    <mergeCell ref="B136:E137"/>
  </mergeCells>
  <pageMargins left="0.17" right="0.17" top="0.3" bottom="0.88" header="0.17" footer="0.3"/>
  <pageSetup paperSize="9" orientation="portrait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44"/>
  <sheetViews>
    <sheetView workbookViewId="0">
      <selection activeCell="B98" sqref="B98:H144"/>
    </sheetView>
  </sheetViews>
  <sheetFormatPr defaultColWidth="9" defaultRowHeight="15"/>
  <cols>
    <col min="1" max="1" width="1" customWidth="1"/>
    <col min="2" max="2" width="4.43809523809524" customWidth="1"/>
    <col min="3" max="3" width="41" customWidth="1"/>
    <col min="4" max="4" width="9.66666666666667" customWidth="1"/>
    <col min="5" max="5" width="7.43809523809524" customWidth="1"/>
    <col min="6" max="6" width="16.3333333333333" customWidth="1"/>
    <col min="7" max="7" width="10.4380952380952" customWidth="1"/>
    <col min="8" max="8" width="10.552380952381" customWidth="1"/>
    <col min="9" max="9" width="0.666666666666667" customWidth="1"/>
  </cols>
  <sheetData>
    <row r="1" ht="15.75" spans="2:15">
      <c r="B1" s="1" t="s">
        <v>0</v>
      </c>
      <c r="C1" s="1"/>
      <c r="D1" s="1"/>
      <c r="E1" s="1"/>
      <c r="F1" s="1"/>
      <c r="G1" s="1"/>
      <c r="H1" s="1"/>
    </row>
    <row r="2" ht="21" spans="2:15">
      <c r="B2" s="2" t="s">
        <v>1</v>
      </c>
      <c r="C2" s="3"/>
      <c r="D2" s="3"/>
      <c r="E2" s="3"/>
      <c r="F2" s="3"/>
      <c r="G2" s="3"/>
      <c r="H2" s="4"/>
    </row>
    <row r="3" ht="28.5" spans="2:15">
      <c r="B3" s="5" t="s">
        <v>2</v>
      </c>
      <c r="C3" s="6"/>
      <c r="D3" s="6"/>
      <c r="E3" s="6"/>
      <c r="F3" s="6"/>
      <c r="G3" s="6"/>
      <c r="H3" s="7"/>
    </row>
    <row r="4" spans="2:15">
      <c r="B4" s="8" t="s">
        <v>3</v>
      </c>
      <c r="C4" s="9"/>
      <c r="D4" s="9"/>
      <c r="E4" s="9"/>
      <c r="F4" s="9"/>
      <c r="G4" s="9"/>
      <c r="H4" s="10"/>
    </row>
    <row r="5" ht="21.75" spans="2:15">
      <c r="B5" s="11" t="s">
        <v>4</v>
      </c>
      <c r="C5" s="12"/>
      <c r="D5" s="12"/>
      <c r="E5" s="12"/>
      <c r="F5" s="12"/>
      <c r="G5" s="12"/>
      <c r="H5" s="13"/>
    </row>
    <row r="6" spans="2:15">
      <c r="B6" s="14" t="s">
        <v>5</v>
      </c>
      <c r="C6" s="15"/>
      <c r="D6" s="15"/>
      <c r="E6" s="15"/>
      <c r="F6" s="15"/>
      <c r="G6" s="15"/>
      <c r="H6" s="16"/>
    </row>
    <row r="7" spans="2:15">
      <c r="B7" s="17" t="s">
        <v>6</v>
      </c>
      <c r="C7" s="18"/>
      <c r="D7" s="18"/>
      <c r="E7" s="18"/>
      <c r="F7" s="18"/>
      <c r="G7" s="18"/>
      <c r="H7" s="19"/>
    </row>
    <row r="8" ht="15.75" customHeight="1" spans="2:15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15">
      <c r="B9" s="25" t="s">
        <v>9</v>
      </c>
      <c r="C9" s="21"/>
      <c r="D9" s="26" t="s">
        <v>10</v>
      </c>
      <c r="E9" s="26"/>
      <c r="F9" s="21" t="s">
        <v>161</v>
      </c>
      <c r="G9" s="31" t="s">
        <v>12</v>
      </c>
      <c r="H9" s="29">
        <v>46291</v>
      </c>
      <c r="O9" t="s">
        <v>37</v>
      </c>
    </row>
    <row r="10" spans="2:15">
      <c r="B10" s="20" t="s">
        <v>13</v>
      </c>
      <c r="C10" s="21"/>
      <c r="D10" s="26" t="s">
        <v>14</v>
      </c>
      <c r="E10" s="26"/>
      <c r="F10" s="21" t="s">
        <v>161</v>
      </c>
      <c r="G10" s="31" t="s">
        <v>12</v>
      </c>
      <c r="H10" s="29">
        <v>46291</v>
      </c>
    </row>
    <row r="11" spans="2:15">
      <c r="B11" s="20" t="s">
        <v>15</v>
      </c>
      <c r="C11" s="21"/>
      <c r="D11" s="26" t="s">
        <v>16</v>
      </c>
      <c r="E11" s="26"/>
      <c r="F11" s="121" t="s">
        <v>162</v>
      </c>
      <c r="G11" s="31" t="s">
        <v>12</v>
      </c>
      <c r="H11" s="29">
        <v>46253</v>
      </c>
    </row>
    <row r="12" spans="2:15">
      <c r="B12" s="20" t="s">
        <v>17</v>
      </c>
      <c r="C12" s="21"/>
      <c r="D12" s="26" t="s">
        <v>152</v>
      </c>
      <c r="E12" s="26"/>
      <c r="F12" s="122" t="s">
        <v>163</v>
      </c>
      <c r="G12" s="31" t="s">
        <v>12</v>
      </c>
      <c r="H12" s="29">
        <v>46254</v>
      </c>
    </row>
    <row r="13" spans="2:15">
      <c r="B13" s="20" t="s">
        <v>20</v>
      </c>
      <c r="C13" s="21"/>
      <c r="D13" s="26" t="s">
        <v>21</v>
      </c>
      <c r="E13" s="26"/>
      <c r="F13" s="21" t="s">
        <v>154</v>
      </c>
      <c r="G13" s="123" t="s">
        <v>12</v>
      </c>
      <c r="H13" s="124"/>
    </row>
    <row r="14" spans="2:15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15">
      <c r="B15" s="37" t="s">
        <v>26</v>
      </c>
      <c r="C15" s="38"/>
      <c r="D15" s="38" t="s">
        <v>27</v>
      </c>
      <c r="E15" s="38"/>
      <c r="F15" s="38" t="s">
        <v>28</v>
      </c>
      <c r="G15" s="39" t="s">
        <v>29</v>
      </c>
      <c r="H15" s="40"/>
      <c r="L15" t="s">
        <v>37</v>
      </c>
    </row>
    <row r="16" ht="3.75" customHeight="1"/>
    <row r="17" ht="30.75" spans="2:16">
      <c r="B17" s="125" t="s">
        <v>30</v>
      </c>
      <c r="C17" s="126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P17" t="s">
        <v>155</v>
      </c>
    </row>
    <row r="18" customHeight="1" spans="2:16">
      <c r="B18" s="127">
        <v>1</v>
      </c>
      <c r="C18" s="48" t="s">
        <v>164</v>
      </c>
      <c r="D18" s="128">
        <v>82073000</v>
      </c>
      <c r="E18" s="129" t="s">
        <v>39</v>
      </c>
      <c r="F18" s="130">
        <v>1</v>
      </c>
      <c r="G18" s="131">
        <v>5328</v>
      </c>
      <c r="H18" s="132">
        <f>SUM(F18*G18)</f>
        <v>5328</v>
      </c>
    </row>
    <row r="19" customHeight="1" spans="2:16">
      <c r="B19" s="62"/>
      <c r="C19" s="55" t="s">
        <v>165</v>
      </c>
      <c r="D19" s="128"/>
      <c r="E19" s="129"/>
      <c r="F19" s="130"/>
      <c r="G19" s="131"/>
      <c r="H19" s="132"/>
    </row>
    <row r="20" spans="2:16">
      <c r="B20" s="127"/>
      <c r="C20" s="133"/>
      <c r="D20" s="128"/>
      <c r="E20" s="129"/>
      <c r="F20" s="130"/>
      <c r="G20" s="131"/>
      <c r="H20" s="132"/>
    </row>
    <row r="21" spans="2:16">
      <c r="B21" s="62"/>
      <c r="C21" s="134"/>
      <c r="D21" s="128"/>
      <c r="E21" s="129"/>
      <c r="F21" s="130"/>
      <c r="G21" s="131"/>
      <c r="H21" s="132"/>
    </row>
    <row r="22" spans="2:16">
      <c r="B22" s="62"/>
      <c r="C22" s="134"/>
      <c r="D22" s="128"/>
      <c r="E22" s="129"/>
      <c r="F22" s="130"/>
      <c r="G22" s="131"/>
      <c r="H22" s="132"/>
    </row>
    <row r="23" spans="2:16">
      <c r="B23" s="127"/>
      <c r="C23" s="134"/>
      <c r="D23" s="128"/>
      <c r="E23" s="129"/>
      <c r="F23" s="130"/>
      <c r="G23" s="135"/>
      <c r="H23" s="132"/>
    </row>
    <row r="24" spans="2:16">
      <c r="B24" s="62"/>
      <c r="C24" s="134"/>
      <c r="D24" s="128"/>
      <c r="E24" s="129"/>
      <c r="F24" s="130"/>
      <c r="G24" s="131"/>
      <c r="H24" s="132"/>
    </row>
    <row r="25" spans="2:16">
      <c r="B25" s="62"/>
      <c r="C25" s="134"/>
      <c r="D25" s="128"/>
      <c r="E25" s="129"/>
      <c r="F25" s="130"/>
      <c r="G25" s="70"/>
      <c r="H25" s="132"/>
      <c r="O25" t="s">
        <v>37</v>
      </c>
    </row>
    <row r="26" spans="2:16">
      <c r="B26" s="62"/>
      <c r="C26" s="134"/>
      <c r="D26" s="128"/>
      <c r="E26" s="129"/>
      <c r="F26" s="130"/>
      <c r="G26" s="131"/>
      <c r="H26" s="132"/>
    </row>
    <row r="27" spans="2:16">
      <c r="B27" s="62"/>
      <c r="C27" s="121"/>
      <c r="D27" s="128"/>
      <c r="E27" s="129"/>
      <c r="F27" s="130"/>
      <c r="G27" s="70"/>
      <c r="H27" s="132"/>
    </row>
    <row r="28" spans="2:16">
      <c r="B28" s="62"/>
      <c r="C28" s="121"/>
      <c r="D28" s="27"/>
      <c r="E28" s="27"/>
      <c r="F28" s="66"/>
      <c r="G28" s="70"/>
      <c r="H28" s="132"/>
    </row>
    <row r="29" spans="2:16">
      <c r="B29" s="62"/>
      <c r="C29" s="121"/>
      <c r="D29" s="128"/>
      <c r="E29" s="129"/>
      <c r="F29" s="130"/>
      <c r="G29" s="21"/>
      <c r="H29" s="74"/>
    </row>
    <row r="30" spans="2:16">
      <c r="B30" s="54"/>
      <c r="C30" s="121"/>
      <c r="D30" s="128"/>
      <c r="E30" s="129"/>
      <c r="F30" s="130"/>
      <c r="G30" s="70"/>
      <c r="H30" s="132"/>
    </row>
    <row r="31" spans="2:16">
      <c r="B31" s="20"/>
      <c r="C31" s="121"/>
      <c r="D31" s="21"/>
      <c r="E31" s="21"/>
      <c r="F31" s="66"/>
      <c r="G31" s="21"/>
      <c r="H31" s="74"/>
    </row>
    <row r="32" ht="21" spans="2:16">
      <c r="B32" s="136" t="s">
        <v>158</v>
      </c>
      <c r="C32" s="137"/>
      <c r="D32" s="66" t="s">
        <v>43</v>
      </c>
      <c r="E32" s="73"/>
      <c r="F32" s="27">
        <f>SUM(F18:F31)</f>
        <v>1</v>
      </c>
      <c r="G32" s="21"/>
      <c r="H32" s="74"/>
    </row>
    <row r="33" spans="2:9">
      <c r="B33" s="75"/>
      <c r="C33" s="76"/>
      <c r="D33" s="76"/>
      <c r="E33" s="77"/>
      <c r="F33" s="26" t="s">
        <v>44</v>
      </c>
      <c r="G33" s="26"/>
      <c r="H33" s="78">
        <f>SUM(H18:H32)</f>
        <v>5328</v>
      </c>
    </row>
    <row r="34" spans="2:9">
      <c r="B34" s="79" t="s">
        <v>45</v>
      </c>
      <c r="C34" s="80"/>
      <c r="E34" s="81"/>
      <c r="F34" s="21" t="s">
        <v>46</v>
      </c>
      <c r="G34" s="82">
        <v>0.09</v>
      </c>
      <c r="H34" s="78">
        <f>SUM(H33*G34)</f>
        <v>479.52</v>
      </c>
    </row>
    <row r="35" spans="2:9">
      <c r="B35" s="83" t="s">
        <v>47</v>
      </c>
      <c r="C35" s="84"/>
      <c r="E35" s="81"/>
      <c r="F35" s="21" t="s">
        <v>48</v>
      </c>
      <c r="G35" s="82">
        <v>0.09</v>
      </c>
      <c r="H35" s="78">
        <f>SUM(H33*G35)</f>
        <v>479.52</v>
      </c>
    </row>
    <row r="36" spans="2:9">
      <c r="B36" s="83" t="s">
        <v>49</v>
      </c>
      <c r="C36" s="84"/>
      <c r="E36" s="81"/>
      <c r="F36" s="21" t="s">
        <v>50</v>
      </c>
      <c r="G36" s="82">
        <v>0.18</v>
      </c>
      <c r="H36" s="85" t="s">
        <v>51</v>
      </c>
    </row>
    <row r="37" spans="2:9">
      <c r="B37" s="83" t="s">
        <v>52</v>
      </c>
      <c r="C37" s="84"/>
      <c r="E37" s="81"/>
      <c r="F37" s="86" t="s">
        <v>53</v>
      </c>
      <c r="G37" s="87"/>
      <c r="H37" s="78">
        <f>SUM(H34:H36)</f>
        <v>959.04</v>
      </c>
    </row>
    <row r="38" spans="2:9">
      <c r="B38" s="83" t="s">
        <v>54</v>
      </c>
      <c r="C38" s="84"/>
      <c r="E38" s="81"/>
      <c r="F38" s="88" t="s">
        <v>55</v>
      </c>
      <c r="G38" s="88"/>
      <c r="H38" s="89">
        <f>SUM(H33+H37+H40)</f>
        <v>6287</v>
      </c>
    </row>
    <row r="39" spans="2:9">
      <c r="B39" s="90"/>
      <c r="C39" s="91"/>
      <c r="D39" s="91"/>
      <c r="E39" s="92"/>
      <c r="F39" s="93" t="s">
        <v>56</v>
      </c>
      <c r="G39" s="93"/>
      <c r="H39" s="74"/>
    </row>
    <row r="40" ht="14.4" customHeight="1" spans="2:9">
      <c r="B40" s="138" t="s">
        <v>166</v>
      </c>
      <c r="C40" s="139"/>
      <c r="D40" s="139"/>
      <c r="E40" s="140"/>
      <c r="F40" s="86" t="s">
        <v>58</v>
      </c>
      <c r="G40" s="87"/>
      <c r="H40" s="74">
        <v>-0.04</v>
      </c>
    </row>
    <row r="41" ht="15.75" spans="2:9">
      <c r="B41" s="141"/>
      <c r="C41" s="142"/>
      <c r="D41" s="142"/>
      <c r="E41" s="143"/>
      <c r="F41" s="144"/>
      <c r="G41" s="145"/>
      <c r="H41" s="40"/>
    </row>
    <row r="42" spans="2:9">
      <c r="B42" s="100" t="s">
        <v>59</v>
      </c>
      <c r="C42" s="101"/>
      <c r="D42" s="101"/>
      <c r="E42" s="102" t="s">
        <v>60</v>
      </c>
      <c r="F42" s="102"/>
      <c r="G42" s="102"/>
      <c r="H42" s="103"/>
      <c r="I42" s="107"/>
    </row>
    <row r="43" ht="18.75" spans="2:9">
      <c r="B43" s="104" t="s">
        <v>61</v>
      </c>
      <c r="E43" s="105" t="s">
        <v>62</v>
      </c>
      <c r="F43" s="105"/>
      <c r="G43" s="105"/>
      <c r="H43" s="106"/>
    </row>
    <row r="44" ht="18.75" spans="2:9">
      <c r="B44" s="108" t="s">
        <v>160</v>
      </c>
      <c r="C44" s="109"/>
      <c r="D44" s="110"/>
      <c r="E44" s="110"/>
      <c r="F44" s="111"/>
      <c r="G44" s="111"/>
      <c r="H44" s="42"/>
    </row>
    <row r="45" spans="2:9">
      <c r="B45" s="112" t="s">
        <v>64</v>
      </c>
      <c r="C45" s="113"/>
      <c r="D45" s="113"/>
      <c r="E45" s="113"/>
      <c r="F45" s="114"/>
      <c r="G45" s="111"/>
      <c r="H45" s="42"/>
    </row>
    <row r="46" spans="2:9">
      <c r="B46" s="112" t="s">
        <v>65</v>
      </c>
      <c r="C46" s="113"/>
      <c r="D46" s="113"/>
      <c r="E46" s="113"/>
      <c r="F46" s="114"/>
      <c r="G46" s="111"/>
      <c r="H46" s="42"/>
    </row>
    <row r="47" spans="2:9">
      <c r="B47" s="41"/>
      <c r="F47" s="111"/>
      <c r="G47" s="111"/>
      <c r="H47" s="42"/>
    </row>
    <row r="48" ht="15.75" spans="2:9">
      <c r="B48" s="115" t="s">
        <v>66</v>
      </c>
      <c r="C48" s="116"/>
      <c r="D48" s="116"/>
      <c r="E48" s="116"/>
      <c r="F48" s="116"/>
      <c r="G48" s="116"/>
      <c r="H48" s="117" t="s">
        <v>67</v>
      </c>
    </row>
    <row r="49" ht="15.75" spans="2:8">
      <c r="B49" s="1" t="s">
        <v>68</v>
      </c>
      <c r="C49" s="1"/>
      <c r="D49" s="1"/>
      <c r="E49" s="1"/>
      <c r="F49" s="1"/>
      <c r="G49" s="1"/>
      <c r="H49" s="1"/>
    </row>
    <row r="50" ht="21" spans="2:8">
      <c r="B50" s="2" t="s">
        <v>1</v>
      </c>
      <c r="C50" s="3"/>
      <c r="D50" s="3"/>
      <c r="E50" s="3"/>
      <c r="F50" s="3"/>
      <c r="G50" s="3"/>
      <c r="H50" s="4"/>
    </row>
    <row r="51" ht="28.5" spans="2:8">
      <c r="B51" s="5" t="s">
        <v>2</v>
      </c>
      <c r="C51" s="6"/>
      <c r="D51" s="6"/>
      <c r="E51" s="6"/>
      <c r="F51" s="6"/>
      <c r="G51" s="6"/>
      <c r="H51" s="7"/>
    </row>
    <row r="52" spans="2:8">
      <c r="B52" s="8" t="s">
        <v>3</v>
      </c>
      <c r="C52" s="9"/>
      <c r="D52" s="9"/>
      <c r="E52" s="9"/>
      <c r="F52" s="9"/>
      <c r="G52" s="9"/>
      <c r="H52" s="10"/>
    </row>
    <row r="53" ht="21.75" spans="2:8">
      <c r="B53" s="11" t="s">
        <v>4</v>
      </c>
      <c r="C53" s="12"/>
      <c r="D53" s="12"/>
      <c r="E53" s="12"/>
      <c r="F53" s="12"/>
      <c r="G53" s="12"/>
      <c r="H53" s="13"/>
    </row>
    <row r="54" spans="2:8">
      <c r="B54" s="14" t="s">
        <v>5</v>
      </c>
      <c r="C54" s="15"/>
      <c r="D54" s="15"/>
      <c r="E54" s="15"/>
      <c r="F54" s="15"/>
      <c r="G54" s="15"/>
      <c r="H54" s="16"/>
    </row>
    <row r="55" spans="2:8">
      <c r="B55" s="17" t="s">
        <v>6</v>
      </c>
      <c r="C55" s="18"/>
      <c r="D55" s="18"/>
      <c r="E55" s="18"/>
      <c r="F55" s="18"/>
      <c r="G55" s="18"/>
      <c r="H55" s="19"/>
    </row>
    <row r="56" ht="15.75" customHeight="1" spans="2:8">
      <c r="B56" s="20" t="s">
        <v>7</v>
      </c>
      <c r="C56" s="21"/>
      <c r="D56" s="22" t="s">
        <v>8</v>
      </c>
      <c r="E56" s="23"/>
      <c r="F56" s="23"/>
      <c r="G56" s="23"/>
      <c r="H56" s="24"/>
    </row>
    <row r="57" ht="21" spans="2:8">
      <c r="B57" s="25" t="s">
        <v>9</v>
      </c>
      <c r="C57" s="21"/>
      <c r="D57" s="26" t="s">
        <v>10</v>
      </c>
      <c r="E57" s="26"/>
      <c r="F57" s="21" t="s">
        <v>161</v>
      </c>
      <c r="G57" s="31" t="s">
        <v>12</v>
      </c>
      <c r="H57" s="29">
        <v>46291</v>
      </c>
    </row>
    <row r="58" spans="2:8">
      <c r="B58" s="20" t="s">
        <v>13</v>
      </c>
      <c r="C58" s="21"/>
      <c r="D58" s="26" t="s">
        <v>14</v>
      </c>
      <c r="E58" s="26"/>
      <c r="F58" s="21" t="s">
        <v>161</v>
      </c>
      <c r="G58" s="31" t="s">
        <v>12</v>
      </c>
      <c r="H58" s="29">
        <v>46291</v>
      </c>
    </row>
    <row r="59" spans="2:8">
      <c r="B59" s="20" t="s">
        <v>15</v>
      </c>
      <c r="C59" s="21"/>
      <c r="D59" s="26" t="s">
        <v>16</v>
      </c>
      <c r="E59" s="26"/>
      <c r="F59" s="121" t="s">
        <v>162</v>
      </c>
      <c r="G59" s="31" t="s">
        <v>12</v>
      </c>
      <c r="H59" s="29">
        <v>46253</v>
      </c>
    </row>
    <row r="60" spans="2:8">
      <c r="B60" s="20" t="s">
        <v>17</v>
      </c>
      <c r="C60" s="21"/>
      <c r="D60" s="26" t="s">
        <v>152</v>
      </c>
      <c r="E60" s="26"/>
      <c r="F60" s="122" t="s">
        <v>163</v>
      </c>
      <c r="G60" s="31" t="s">
        <v>12</v>
      </c>
      <c r="H60" s="29">
        <v>46254</v>
      </c>
    </row>
    <row r="61" spans="2:8">
      <c r="B61" s="20" t="s">
        <v>20</v>
      </c>
      <c r="C61" s="21"/>
      <c r="D61" s="26" t="s">
        <v>21</v>
      </c>
      <c r="E61" s="26"/>
      <c r="F61" s="21" t="s">
        <v>154</v>
      </c>
      <c r="G61" s="123" t="s">
        <v>12</v>
      </c>
      <c r="H61" s="124"/>
    </row>
    <row r="62" spans="2:8">
      <c r="B62" s="35" t="s">
        <v>22</v>
      </c>
      <c r="C62" s="26"/>
      <c r="D62" s="26" t="s">
        <v>23</v>
      </c>
      <c r="E62" s="26"/>
      <c r="F62" s="21" t="s">
        <v>24</v>
      </c>
      <c r="G62" s="28" t="s">
        <v>25</v>
      </c>
      <c r="H62" s="36"/>
    </row>
    <row r="63" ht="15.75" spans="2:8">
      <c r="B63" s="37" t="s">
        <v>26</v>
      </c>
      <c r="C63" s="38"/>
      <c r="D63" s="38" t="s">
        <v>27</v>
      </c>
      <c r="E63" s="38"/>
      <c r="F63" s="38" t="s">
        <v>28</v>
      </c>
      <c r="G63" s="39" t="s">
        <v>29</v>
      </c>
      <c r="H63" s="40"/>
    </row>
    <row r="64" ht="4.5" customHeight="1"/>
    <row r="65" ht="30.75" spans="2:8">
      <c r="B65" s="125" t="s">
        <v>30</v>
      </c>
      <c r="C65" s="126" t="s">
        <v>31</v>
      </c>
      <c r="D65" s="45" t="s">
        <v>32</v>
      </c>
      <c r="E65" s="44" t="s">
        <v>33</v>
      </c>
      <c r="F65" s="44" t="s">
        <v>34</v>
      </c>
      <c r="G65" s="44" t="s">
        <v>35</v>
      </c>
      <c r="H65" s="46" t="s">
        <v>36</v>
      </c>
    </row>
    <row r="66" customHeight="1" spans="2:8">
      <c r="B66" s="127">
        <v>1</v>
      </c>
      <c r="C66" s="48" t="s">
        <v>164</v>
      </c>
      <c r="D66" s="128">
        <v>82073000</v>
      </c>
      <c r="E66" s="129" t="s">
        <v>39</v>
      </c>
      <c r="F66" s="130">
        <v>1</v>
      </c>
      <c r="G66" s="131">
        <v>5328</v>
      </c>
      <c r="H66" s="132">
        <f>SUM(F66*G66)</f>
        <v>5328</v>
      </c>
    </row>
    <row r="67" spans="2:8">
      <c r="B67" s="62"/>
      <c r="C67" s="55" t="s">
        <v>165</v>
      </c>
      <c r="D67" s="128"/>
      <c r="E67" s="129"/>
      <c r="F67" s="130"/>
      <c r="G67" s="131"/>
      <c r="H67" s="132"/>
    </row>
    <row r="68" spans="2:8">
      <c r="B68" s="127"/>
      <c r="C68" s="133"/>
      <c r="D68" s="128"/>
      <c r="E68" s="129"/>
      <c r="F68" s="130"/>
      <c r="G68" s="131"/>
      <c r="H68" s="132"/>
    </row>
    <row r="69" spans="2:8">
      <c r="B69" s="62"/>
      <c r="C69" s="134"/>
      <c r="D69" s="128"/>
      <c r="E69" s="129"/>
      <c r="F69" s="130"/>
      <c r="G69" s="131"/>
      <c r="H69" s="132"/>
    </row>
    <row r="70" spans="2:8">
      <c r="B70" s="62"/>
      <c r="C70" s="134"/>
      <c r="D70" s="128"/>
      <c r="E70" s="129"/>
      <c r="F70" s="130"/>
      <c r="G70" s="131"/>
      <c r="H70" s="132"/>
    </row>
    <row r="71" spans="2:8">
      <c r="B71" s="127"/>
      <c r="C71" s="134"/>
      <c r="D71" s="128"/>
      <c r="E71" s="129"/>
      <c r="F71" s="130"/>
      <c r="G71" s="135"/>
      <c r="H71" s="132"/>
    </row>
    <row r="72" spans="2:8">
      <c r="B72" s="62"/>
      <c r="C72" s="134"/>
      <c r="D72" s="128"/>
      <c r="E72" s="129"/>
      <c r="F72" s="130"/>
      <c r="G72" s="131"/>
      <c r="H72" s="132"/>
    </row>
    <row r="73" spans="2:8">
      <c r="B73" s="62"/>
      <c r="C73" s="134"/>
      <c r="D73" s="128"/>
      <c r="E73" s="129"/>
      <c r="F73" s="130"/>
      <c r="G73" s="70"/>
      <c r="H73" s="132"/>
    </row>
    <row r="74" spans="2:8">
      <c r="B74" s="62"/>
      <c r="C74" s="134"/>
      <c r="D74" s="128"/>
      <c r="E74" s="129"/>
      <c r="F74" s="130"/>
      <c r="G74" s="131"/>
      <c r="H74" s="132"/>
    </row>
    <row r="75" spans="2:8">
      <c r="B75" s="62"/>
      <c r="C75" s="121"/>
      <c r="D75" s="128"/>
      <c r="E75" s="129"/>
      <c r="F75" s="130"/>
      <c r="G75" s="70"/>
      <c r="H75" s="132"/>
    </row>
    <row r="76" spans="2:8">
      <c r="B76" s="62"/>
      <c r="C76" s="121"/>
      <c r="D76" s="27"/>
      <c r="E76" s="27"/>
      <c r="F76" s="66"/>
      <c r="G76" s="70"/>
      <c r="H76" s="132"/>
    </row>
    <row r="77" spans="2:8">
      <c r="B77" s="62"/>
      <c r="C77" s="121"/>
      <c r="D77" s="128"/>
      <c r="E77" s="129"/>
      <c r="F77" s="130"/>
      <c r="G77" s="21"/>
      <c r="H77" s="74"/>
    </row>
    <row r="78" spans="2:8">
      <c r="B78" s="54"/>
      <c r="C78" s="121"/>
      <c r="D78" s="128"/>
      <c r="E78" s="129"/>
      <c r="F78" s="130"/>
      <c r="G78" s="70"/>
      <c r="H78" s="132"/>
    </row>
    <row r="79" spans="2:8">
      <c r="B79" s="20"/>
      <c r="C79" s="121"/>
      <c r="D79" s="21"/>
      <c r="E79" s="21"/>
      <c r="F79" s="66"/>
      <c r="G79" s="21"/>
      <c r="H79" s="74"/>
    </row>
    <row r="80" ht="21" spans="2:8">
      <c r="B80" s="136" t="s">
        <v>158</v>
      </c>
      <c r="C80" s="137"/>
      <c r="D80" s="66" t="s">
        <v>43</v>
      </c>
      <c r="E80" s="73"/>
      <c r="F80" s="27">
        <f>SUM(F66:F79)</f>
        <v>1</v>
      </c>
      <c r="G80" s="21"/>
      <c r="H80" s="74"/>
    </row>
    <row r="81" spans="2:8">
      <c r="B81" s="75"/>
      <c r="C81" s="76"/>
      <c r="D81" s="76"/>
      <c r="E81" s="77"/>
      <c r="F81" s="26" t="s">
        <v>44</v>
      </c>
      <c r="G81" s="26"/>
      <c r="H81" s="78">
        <f>SUM(H66:H80)</f>
        <v>5328</v>
      </c>
    </row>
    <row r="82" spans="2:8">
      <c r="B82" s="79" t="s">
        <v>45</v>
      </c>
      <c r="C82" s="80"/>
      <c r="E82" s="81"/>
      <c r="F82" s="21" t="s">
        <v>46</v>
      </c>
      <c r="G82" s="82">
        <v>0.09</v>
      </c>
      <c r="H82" s="78">
        <f>SUM(H81*G82)</f>
        <v>479.52</v>
      </c>
    </row>
    <row r="83" spans="2:8">
      <c r="B83" s="83" t="s">
        <v>47</v>
      </c>
      <c r="C83" s="84"/>
      <c r="E83" s="81"/>
      <c r="F83" s="21" t="s">
        <v>48</v>
      </c>
      <c r="G83" s="82">
        <v>0.09</v>
      </c>
      <c r="H83" s="78">
        <f>SUM(H81*G83)</f>
        <v>479.52</v>
      </c>
    </row>
    <row r="84" spans="2:8">
      <c r="B84" s="83" t="s">
        <v>49</v>
      </c>
      <c r="C84" s="84"/>
      <c r="E84" s="81"/>
      <c r="F84" s="21" t="s">
        <v>50</v>
      </c>
      <c r="G84" s="82">
        <v>0.18</v>
      </c>
      <c r="H84" s="85" t="s">
        <v>51</v>
      </c>
    </row>
    <row r="85" spans="2:8">
      <c r="B85" s="83" t="s">
        <v>52</v>
      </c>
      <c r="C85" s="84"/>
      <c r="E85" s="81"/>
      <c r="F85" s="86" t="s">
        <v>53</v>
      </c>
      <c r="G85" s="87"/>
      <c r="H85" s="78">
        <f>SUM(H82:H84)</f>
        <v>959.04</v>
      </c>
    </row>
    <row r="86" spans="2:8">
      <c r="B86" s="83" t="s">
        <v>54</v>
      </c>
      <c r="C86" s="84"/>
      <c r="E86" s="81"/>
      <c r="F86" s="88" t="s">
        <v>55</v>
      </c>
      <c r="G86" s="88"/>
      <c r="H86" s="89">
        <f>SUM(H81+H85+H88)</f>
        <v>6287</v>
      </c>
    </row>
    <row r="87" spans="2:8">
      <c r="B87" s="90"/>
      <c r="C87" s="91"/>
      <c r="D87" s="91"/>
      <c r="E87" s="92"/>
      <c r="F87" s="93" t="s">
        <v>56</v>
      </c>
      <c r="G87" s="93"/>
      <c r="H87" s="74"/>
    </row>
    <row r="88" customHeight="1" spans="2:8">
      <c r="B88" s="138" t="s">
        <v>166</v>
      </c>
      <c r="C88" s="139"/>
      <c r="D88" s="139"/>
      <c r="E88" s="140"/>
      <c r="F88" s="86" t="s">
        <v>58</v>
      </c>
      <c r="G88" s="87"/>
      <c r="H88" s="74">
        <v>-0.04</v>
      </c>
    </row>
    <row r="89" ht="15.75" spans="2:8">
      <c r="B89" s="141"/>
      <c r="C89" s="142"/>
      <c r="D89" s="142"/>
      <c r="E89" s="143"/>
      <c r="F89" s="144"/>
      <c r="G89" s="145"/>
      <c r="H89" s="40"/>
    </row>
    <row r="90" spans="2:8">
      <c r="B90" s="100" t="s">
        <v>59</v>
      </c>
      <c r="C90" s="101"/>
      <c r="D90" s="101"/>
      <c r="E90" s="102" t="s">
        <v>60</v>
      </c>
      <c r="F90" s="102"/>
      <c r="G90" s="102"/>
      <c r="H90" s="103"/>
    </row>
    <row r="91" ht="18.75" spans="2:8">
      <c r="B91" s="104" t="s">
        <v>61</v>
      </c>
      <c r="E91" s="105" t="s">
        <v>62</v>
      </c>
      <c r="F91" s="105"/>
      <c r="G91" s="105"/>
      <c r="H91" s="106"/>
    </row>
    <row r="92" ht="18.75" spans="2:8">
      <c r="B92" s="108" t="s">
        <v>160</v>
      </c>
      <c r="C92" s="109"/>
      <c r="D92" s="110"/>
      <c r="E92" s="110"/>
      <c r="F92" s="111"/>
      <c r="G92" s="111"/>
      <c r="H92" s="42"/>
    </row>
    <row r="93" spans="2:8">
      <c r="B93" s="112" t="s">
        <v>64</v>
      </c>
      <c r="C93" s="113"/>
      <c r="D93" s="113"/>
      <c r="E93" s="113"/>
      <c r="F93" s="114"/>
      <c r="G93" s="111"/>
      <c r="H93" s="42"/>
    </row>
    <row r="94" spans="2:8">
      <c r="B94" s="112" t="s">
        <v>65</v>
      </c>
      <c r="C94" s="113"/>
      <c r="D94" s="113"/>
      <c r="E94" s="113"/>
      <c r="F94" s="114"/>
      <c r="G94" s="111"/>
      <c r="H94" s="42"/>
    </row>
    <row r="95" ht="15.75" customHeight="1" spans="2:8">
      <c r="B95" s="41"/>
      <c r="F95" s="111"/>
      <c r="G95" s="111"/>
      <c r="H95" s="42"/>
    </row>
    <row r="96" ht="15.75" spans="2:8">
      <c r="B96" s="115" t="s">
        <v>66</v>
      </c>
      <c r="C96" s="116"/>
      <c r="D96" s="116"/>
      <c r="E96" s="116"/>
      <c r="F96" s="116"/>
      <c r="G96" s="116"/>
      <c r="H96" s="117" t="s">
        <v>67</v>
      </c>
    </row>
    <row r="97" ht="18.75" customHeight="1" spans="2:8">
      <c r="B97" s="1" t="s">
        <v>69</v>
      </c>
      <c r="C97" s="1"/>
      <c r="D97" s="1"/>
      <c r="E97" s="1"/>
      <c r="F97" s="1"/>
      <c r="G97" s="1"/>
      <c r="H97" s="1"/>
    </row>
    <row r="98" ht="21" spans="2:8">
      <c r="B98" s="2" t="s">
        <v>1</v>
      </c>
      <c r="C98" s="3"/>
      <c r="D98" s="3"/>
      <c r="E98" s="3"/>
      <c r="F98" s="3"/>
      <c r="G98" s="3"/>
      <c r="H98" s="4"/>
    </row>
    <row r="99" ht="28.5" spans="2:8">
      <c r="B99" s="5" t="s">
        <v>2</v>
      </c>
      <c r="C99" s="6"/>
      <c r="D99" s="6"/>
      <c r="E99" s="6"/>
      <c r="F99" s="6"/>
      <c r="G99" s="6"/>
      <c r="H99" s="7"/>
    </row>
    <row r="100" spans="2:8">
      <c r="B100" s="8" t="s">
        <v>3</v>
      </c>
      <c r="C100" s="9"/>
      <c r="D100" s="9"/>
      <c r="E100" s="9"/>
      <c r="F100" s="9"/>
      <c r="G100" s="9"/>
      <c r="H100" s="10"/>
    </row>
    <row r="101" ht="21.75" spans="2:8">
      <c r="B101" s="11" t="s">
        <v>4</v>
      </c>
      <c r="C101" s="12"/>
      <c r="D101" s="12"/>
      <c r="E101" s="12"/>
      <c r="F101" s="12"/>
      <c r="G101" s="12"/>
      <c r="H101" s="13"/>
    </row>
    <row r="102" spans="2:8">
      <c r="B102" s="14" t="s">
        <v>5</v>
      </c>
      <c r="C102" s="15"/>
      <c r="D102" s="15"/>
      <c r="E102" s="15"/>
      <c r="F102" s="15"/>
      <c r="G102" s="15"/>
      <c r="H102" s="16"/>
    </row>
    <row r="103" spans="2:8">
      <c r="B103" s="17" t="s">
        <v>6</v>
      </c>
      <c r="C103" s="18"/>
      <c r="D103" s="18"/>
      <c r="E103" s="18"/>
      <c r="F103" s="18"/>
      <c r="G103" s="18"/>
      <c r="H103" s="19"/>
    </row>
    <row r="104" ht="15.75" customHeight="1" spans="2:8">
      <c r="B104" s="20" t="s">
        <v>7</v>
      </c>
      <c r="C104" s="21"/>
      <c r="D104" s="22" t="s">
        <v>8</v>
      </c>
      <c r="E104" s="23"/>
      <c r="F104" s="23"/>
      <c r="G104" s="23"/>
      <c r="H104" s="24"/>
    </row>
    <row r="105" ht="21" spans="2:8">
      <c r="B105" s="25" t="s">
        <v>9</v>
      </c>
      <c r="C105" s="21"/>
      <c r="D105" s="26" t="s">
        <v>10</v>
      </c>
      <c r="E105" s="26"/>
      <c r="F105" s="21" t="s">
        <v>161</v>
      </c>
      <c r="G105" s="31" t="s">
        <v>12</v>
      </c>
      <c r="H105" s="29">
        <v>46291</v>
      </c>
    </row>
    <row r="106" spans="2:8">
      <c r="B106" s="20" t="s">
        <v>13</v>
      </c>
      <c r="C106" s="21"/>
      <c r="D106" s="26" t="s">
        <v>14</v>
      </c>
      <c r="E106" s="26"/>
      <c r="F106" s="21" t="s">
        <v>161</v>
      </c>
      <c r="G106" s="31" t="s">
        <v>12</v>
      </c>
      <c r="H106" s="29">
        <v>46291</v>
      </c>
    </row>
    <row r="107" spans="2:8">
      <c r="B107" s="20" t="s">
        <v>15</v>
      </c>
      <c r="C107" s="21"/>
      <c r="D107" s="26" t="s">
        <v>16</v>
      </c>
      <c r="E107" s="26"/>
      <c r="F107" s="121" t="s">
        <v>162</v>
      </c>
      <c r="G107" s="31" t="s">
        <v>12</v>
      </c>
      <c r="H107" s="29">
        <v>46253</v>
      </c>
    </row>
    <row r="108" spans="2:8">
      <c r="B108" s="20" t="s">
        <v>17</v>
      </c>
      <c r="C108" s="21"/>
      <c r="D108" s="26" t="s">
        <v>152</v>
      </c>
      <c r="E108" s="26"/>
      <c r="F108" s="122" t="s">
        <v>163</v>
      </c>
      <c r="G108" s="31" t="s">
        <v>12</v>
      </c>
      <c r="H108" s="29">
        <v>46254</v>
      </c>
    </row>
    <row r="109" spans="2:8">
      <c r="B109" s="20" t="s">
        <v>20</v>
      </c>
      <c r="C109" s="21"/>
      <c r="D109" s="26" t="s">
        <v>21</v>
      </c>
      <c r="E109" s="26"/>
      <c r="F109" s="21" t="s">
        <v>154</v>
      </c>
      <c r="G109" s="123" t="s">
        <v>12</v>
      </c>
      <c r="H109" s="124"/>
    </row>
    <row r="110" spans="2:8">
      <c r="B110" s="35" t="s">
        <v>22</v>
      </c>
      <c r="C110" s="26"/>
      <c r="D110" s="26" t="s">
        <v>23</v>
      </c>
      <c r="E110" s="26"/>
      <c r="F110" s="21" t="s">
        <v>24</v>
      </c>
      <c r="G110" s="28" t="s">
        <v>25</v>
      </c>
      <c r="H110" s="36"/>
    </row>
    <row r="111" ht="15.75" spans="2:8">
      <c r="B111" s="37" t="s">
        <v>26</v>
      </c>
      <c r="C111" s="38"/>
      <c r="D111" s="38" t="s">
        <v>27</v>
      </c>
      <c r="E111" s="38"/>
      <c r="F111" s="38" t="s">
        <v>28</v>
      </c>
      <c r="G111" s="39" t="s">
        <v>29</v>
      </c>
      <c r="H111" s="40"/>
    </row>
    <row r="112" ht="3.75" customHeight="1"/>
    <row r="113" ht="30.75" spans="2:8">
      <c r="B113" s="125" t="s">
        <v>30</v>
      </c>
      <c r="C113" s="126" t="s">
        <v>31</v>
      </c>
      <c r="D113" s="45" t="s">
        <v>32</v>
      </c>
      <c r="E113" s="44" t="s">
        <v>33</v>
      </c>
      <c r="F113" s="44" t="s">
        <v>34</v>
      </c>
      <c r="G113" s="44" t="s">
        <v>35</v>
      </c>
      <c r="H113" s="46" t="s">
        <v>36</v>
      </c>
    </row>
    <row r="114" customHeight="1" spans="2:8">
      <c r="B114" s="127">
        <v>1</v>
      </c>
      <c r="C114" s="48" t="s">
        <v>164</v>
      </c>
      <c r="D114" s="128">
        <v>82073000</v>
      </c>
      <c r="E114" s="129" t="s">
        <v>39</v>
      </c>
      <c r="F114" s="130">
        <v>1</v>
      </c>
      <c r="G114" s="131">
        <v>5328</v>
      </c>
      <c r="H114" s="132">
        <f>SUM(F114*G114)</f>
        <v>5328</v>
      </c>
    </row>
    <row r="115" spans="2:8">
      <c r="B115" s="62"/>
      <c r="C115" s="55" t="s">
        <v>165</v>
      </c>
      <c r="D115" s="128"/>
      <c r="E115" s="129"/>
      <c r="F115" s="130"/>
      <c r="G115" s="131"/>
      <c r="H115" s="132"/>
    </row>
    <row r="116" spans="2:8">
      <c r="B116" s="127"/>
      <c r="C116" s="133"/>
      <c r="D116" s="128"/>
      <c r="E116" s="129"/>
      <c r="F116" s="130"/>
      <c r="G116" s="131"/>
      <c r="H116" s="132"/>
    </row>
    <row r="117" customHeight="1" spans="2:8">
      <c r="B117" s="62"/>
      <c r="C117" s="134"/>
      <c r="D117" s="128"/>
      <c r="E117" s="129"/>
      <c r="F117" s="130"/>
      <c r="G117" s="131"/>
      <c r="H117" s="132"/>
    </row>
    <row r="118" spans="2:8">
      <c r="B118" s="62"/>
      <c r="C118" s="134"/>
      <c r="D118" s="128"/>
      <c r="E118" s="129"/>
      <c r="F118" s="130"/>
      <c r="G118" s="131"/>
      <c r="H118" s="132"/>
    </row>
    <row r="119" spans="2:8">
      <c r="B119" s="127"/>
      <c r="C119" s="134"/>
      <c r="D119" s="128"/>
      <c r="E119" s="129"/>
      <c r="F119" s="130"/>
      <c r="G119" s="135"/>
      <c r="H119" s="132"/>
    </row>
    <row r="120" spans="2:8">
      <c r="B120" s="62"/>
      <c r="C120" s="134"/>
      <c r="D120" s="128"/>
      <c r="E120" s="129"/>
      <c r="F120" s="130"/>
      <c r="G120" s="131"/>
      <c r="H120" s="132"/>
    </row>
    <row r="121" spans="2:8">
      <c r="B121" s="62"/>
      <c r="C121" s="134"/>
      <c r="D121" s="128"/>
      <c r="E121" s="129"/>
      <c r="F121" s="130"/>
      <c r="G121" s="70"/>
      <c r="H121" s="132"/>
    </row>
    <row r="122" spans="2:8">
      <c r="B122" s="62"/>
      <c r="C122" s="134"/>
      <c r="D122" s="128"/>
      <c r="E122" s="129"/>
      <c r="F122" s="130"/>
      <c r="G122" s="131"/>
      <c r="H122" s="132"/>
    </row>
    <row r="123" spans="2:8">
      <c r="B123" s="62"/>
      <c r="C123" s="121"/>
      <c r="D123" s="128"/>
      <c r="E123" s="129"/>
      <c r="F123" s="130"/>
      <c r="G123" s="70"/>
      <c r="H123" s="132"/>
    </row>
    <row r="124" spans="2:8">
      <c r="B124" s="62"/>
      <c r="C124" s="121"/>
      <c r="D124" s="27"/>
      <c r="E124" s="27"/>
      <c r="F124" s="66"/>
      <c r="G124" s="70"/>
      <c r="H124" s="132"/>
    </row>
    <row r="125" spans="2:8">
      <c r="B125" s="62"/>
      <c r="C125" s="121"/>
      <c r="D125" s="128"/>
      <c r="E125" s="129"/>
      <c r="F125" s="130"/>
      <c r="G125" s="21"/>
      <c r="H125" s="74"/>
    </row>
    <row r="126" spans="2:8">
      <c r="B126" s="54"/>
      <c r="C126" s="121"/>
      <c r="D126" s="128"/>
      <c r="E126" s="129"/>
      <c r="F126" s="130"/>
      <c r="G126" s="70"/>
      <c r="H126" s="132"/>
    </row>
    <row r="127" spans="2:8">
      <c r="B127" s="20"/>
      <c r="C127" s="121"/>
      <c r="D127" s="21"/>
      <c r="E127" s="21"/>
      <c r="F127" s="66"/>
      <c r="G127" s="21"/>
      <c r="H127" s="74"/>
    </row>
    <row r="128" ht="21" spans="2:8">
      <c r="B128" s="136" t="s">
        <v>158</v>
      </c>
      <c r="C128" s="137"/>
      <c r="D128" s="66" t="s">
        <v>43</v>
      </c>
      <c r="E128" s="73"/>
      <c r="F128" s="27">
        <f>SUM(F114:F127)</f>
        <v>1</v>
      </c>
      <c r="G128" s="21"/>
      <c r="H128" s="74"/>
    </row>
    <row r="129" spans="2:8">
      <c r="B129" s="75"/>
      <c r="C129" s="76"/>
      <c r="D129" s="76"/>
      <c r="E129" s="77"/>
      <c r="F129" s="26" t="s">
        <v>44</v>
      </c>
      <c r="G129" s="26"/>
      <c r="H129" s="78">
        <f>SUM(H114:H128)</f>
        <v>5328</v>
      </c>
    </row>
    <row r="130" spans="2:8">
      <c r="B130" s="79" t="s">
        <v>45</v>
      </c>
      <c r="C130" s="80"/>
      <c r="E130" s="81"/>
      <c r="F130" s="21" t="s">
        <v>46</v>
      </c>
      <c r="G130" s="82">
        <v>0.09</v>
      </c>
      <c r="H130" s="78">
        <f>SUM(H129*G130)</f>
        <v>479.52</v>
      </c>
    </row>
    <row r="131" spans="2:8">
      <c r="B131" s="83" t="s">
        <v>47</v>
      </c>
      <c r="C131" s="84"/>
      <c r="E131" s="81"/>
      <c r="F131" s="21" t="s">
        <v>48</v>
      </c>
      <c r="G131" s="82">
        <v>0.09</v>
      </c>
      <c r="H131" s="78">
        <f>SUM(H129*G131)</f>
        <v>479.52</v>
      </c>
    </row>
    <row r="132" spans="2:8">
      <c r="B132" s="83" t="s">
        <v>49</v>
      </c>
      <c r="C132" s="84"/>
      <c r="E132" s="81"/>
      <c r="F132" s="21" t="s">
        <v>50</v>
      </c>
      <c r="G132" s="82">
        <v>0.18</v>
      </c>
      <c r="H132" s="85" t="s">
        <v>51</v>
      </c>
    </row>
    <row r="133" spans="2:8">
      <c r="B133" s="83" t="s">
        <v>52</v>
      </c>
      <c r="C133" s="84"/>
      <c r="E133" s="81"/>
      <c r="F133" s="86" t="s">
        <v>53</v>
      </c>
      <c r="G133" s="87"/>
      <c r="H133" s="78">
        <f>SUM(H130:H132)</f>
        <v>959.04</v>
      </c>
    </row>
    <row r="134" spans="2:8">
      <c r="B134" s="83" t="s">
        <v>54</v>
      </c>
      <c r="C134" s="84"/>
      <c r="E134" s="81"/>
      <c r="F134" s="88" t="s">
        <v>55</v>
      </c>
      <c r="G134" s="88"/>
      <c r="H134" s="89">
        <f>SUM(H129+H133+H136)</f>
        <v>6287</v>
      </c>
    </row>
    <row r="135" spans="2:8">
      <c r="B135" s="90"/>
      <c r="C135" s="91"/>
      <c r="D135" s="91"/>
      <c r="E135" s="92"/>
      <c r="F135" s="93" t="s">
        <v>56</v>
      </c>
      <c r="G135" s="93"/>
      <c r="H135" s="74"/>
    </row>
    <row r="136" customHeight="1" spans="2:8">
      <c r="B136" s="138" t="s">
        <v>166</v>
      </c>
      <c r="C136" s="139"/>
      <c r="D136" s="139"/>
      <c r="E136" s="140"/>
      <c r="F136" s="86" t="s">
        <v>58</v>
      </c>
      <c r="G136" s="87"/>
      <c r="H136" s="74">
        <v>-0.04</v>
      </c>
    </row>
    <row r="137" ht="15.75" spans="2:8">
      <c r="B137" s="141"/>
      <c r="C137" s="142"/>
      <c r="D137" s="142"/>
      <c r="E137" s="143"/>
      <c r="F137" s="144"/>
      <c r="G137" s="145"/>
      <c r="H137" s="40"/>
    </row>
    <row r="138" spans="2:8">
      <c r="B138" s="100" t="s">
        <v>59</v>
      </c>
      <c r="C138" s="101"/>
      <c r="D138" s="101"/>
      <c r="E138" s="102" t="s">
        <v>60</v>
      </c>
      <c r="F138" s="102"/>
      <c r="G138" s="102"/>
      <c r="H138" s="103"/>
    </row>
    <row r="139" ht="18.75" spans="2:8">
      <c r="B139" s="104" t="s">
        <v>61</v>
      </c>
      <c r="E139" s="105" t="s">
        <v>62</v>
      </c>
      <c r="F139" s="105"/>
      <c r="G139" s="105"/>
      <c r="H139" s="106"/>
    </row>
    <row r="140" ht="18.75" spans="2:8">
      <c r="B140" s="108" t="s">
        <v>160</v>
      </c>
      <c r="C140" s="109"/>
      <c r="D140" s="110"/>
      <c r="E140" s="110"/>
      <c r="F140" s="111"/>
      <c r="G140" s="111"/>
      <c r="H140" s="42"/>
    </row>
    <row r="141" spans="2:8">
      <c r="B141" s="112" t="s">
        <v>64</v>
      </c>
      <c r="C141" s="113"/>
      <c r="D141" s="113"/>
      <c r="E141" s="113"/>
      <c r="F141" s="114"/>
      <c r="G141" s="111"/>
      <c r="H141" s="42"/>
    </row>
    <row r="142" spans="2:8">
      <c r="B142" s="112" t="s">
        <v>65</v>
      </c>
      <c r="C142" s="113"/>
      <c r="D142" s="113"/>
      <c r="E142" s="113"/>
      <c r="F142" s="114"/>
      <c r="G142" s="111"/>
      <c r="H142" s="42"/>
    </row>
    <row r="143" spans="2:8">
      <c r="B143" s="41"/>
      <c r="F143" s="111"/>
      <c r="G143" s="111"/>
      <c r="H143" s="42"/>
    </row>
    <row r="144" ht="15.75" spans="2:8">
      <c r="B144" s="115" t="s">
        <v>66</v>
      </c>
      <c r="C144" s="116"/>
      <c r="D144" s="116"/>
      <c r="E144" s="116"/>
      <c r="F144" s="116"/>
      <c r="G144" s="116"/>
      <c r="H144" s="117" t="s">
        <v>67</v>
      </c>
    </row>
  </sheetData>
  <mergeCells count="51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2:C32"/>
    <mergeCell ref="D32:E32"/>
    <mergeCell ref="F37:G37"/>
    <mergeCell ref="F40:G40"/>
    <mergeCell ref="F41:G41"/>
    <mergeCell ref="E42:H42"/>
    <mergeCell ref="E43:H43"/>
    <mergeCell ref="B49:H49"/>
    <mergeCell ref="B50:H50"/>
    <mergeCell ref="B51:H51"/>
    <mergeCell ref="B52:H52"/>
    <mergeCell ref="B53:H53"/>
    <mergeCell ref="B54:H54"/>
    <mergeCell ref="B55:H55"/>
    <mergeCell ref="D56:H56"/>
    <mergeCell ref="G62:H62"/>
    <mergeCell ref="B80:C80"/>
    <mergeCell ref="D80:E80"/>
    <mergeCell ref="F85:G85"/>
    <mergeCell ref="F88:G88"/>
    <mergeCell ref="F89:G89"/>
    <mergeCell ref="E90:H90"/>
    <mergeCell ref="E91:H91"/>
    <mergeCell ref="B97:H97"/>
    <mergeCell ref="B98:H98"/>
    <mergeCell ref="B99:H99"/>
    <mergeCell ref="B100:H100"/>
    <mergeCell ref="B101:H101"/>
    <mergeCell ref="B102:H102"/>
    <mergeCell ref="B103:H103"/>
    <mergeCell ref="D104:H104"/>
    <mergeCell ref="G110:H110"/>
    <mergeCell ref="B128:C128"/>
    <mergeCell ref="D128:E128"/>
    <mergeCell ref="F133:G133"/>
    <mergeCell ref="F136:G136"/>
    <mergeCell ref="F137:G137"/>
    <mergeCell ref="E138:H138"/>
    <mergeCell ref="E139:H139"/>
    <mergeCell ref="B40:E41"/>
    <mergeCell ref="B88:E89"/>
    <mergeCell ref="B136:E137"/>
  </mergeCells>
  <pageMargins left="0.17" right="0.17" top="0.3" bottom="0.88" header="0.17" footer="0.3"/>
  <pageSetup paperSize="9" orientation="portrait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44"/>
  <sheetViews>
    <sheetView workbookViewId="0">
      <selection activeCell="N15" sqref="N15"/>
    </sheetView>
  </sheetViews>
  <sheetFormatPr defaultColWidth="9" defaultRowHeight="15"/>
  <cols>
    <col min="1" max="1" width="1" customWidth="1"/>
    <col min="2" max="2" width="4.43809523809524" customWidth="1"/>
    <col min="3" max="3" width="41" customWidth="1"/>
    <col min="4" max="4" width="9.66666666666667" customWidth="1"/>
    <col min="5" max="5" width="7.43809523809524" customWidth="1"/>
    <col min="6" max="6" width="16.3333333333333" customWidth="1"/>
    <col min="7" max="7" width="10.4380952380952" customWidth="1"/>
    <col min="8" max="8" width="10.552380952381" customWidth="1"/>
    <col min="9" max="9" width="0.666666666666667" customWidth="1"/>
  </cols>
  <sheetData>
    <row r="1" ht="15.75" spans="2:15">
      <c r="B1" s="1" t="s">
        <v>0</v>
      </c>
      <c r="C1" s="1"/>
      <c r="D1" s="1"/>
      <c r="E1" s="1"/>
      <c r="F1" s="1"/>
      <c r="G1" s="1"/>
      <c r="H1" s="1"/>
    </row>
    <row r="2" ht="21" spans="2:15">
      <c r="B2" s="2" t="s">
        <v>1</v>
      </c>
      <c r="C2" s="3"/>
      <c r="D2" s="3"/>
      <c r="E2" s="3"/>
      <c r="F2" s="3"/>
      <c r="G2" s="3"/>
      <c r="H2" s="4"/>
    </row>
    <row r="3" ht="28.5" spans="2:15">
      <c r="B3" s="5" t="s">
        <v>2</v>
      </c>
      <c r="C3" s="6"/>
      <c r="D3" s="6"/>
      <c r="E3" s="6"/>
      <c r="F3" s="6"/>
      <c r="G3" s="6"/>
      <c r="H3" s="7"/>
    </row>
    <row r="4" spans="2:15">
      <c r="B4" s="8" t="s">
        <v>3</v>
      </c>
      <c r="C4" s="9"/>
      <c r="D4" s="9"/>
      <c r="E4" s="9"/>
      <c r="F4" s="9"/>
      <c r="G4" s="9"/>
      <c r="H4" s="10"/>
    </row>
    <row r="5" ht="21.75" spans="2:15">
      <c r="B5" s="11" t="s">
        <v>4</v>
      </c>
      <c r="C5" s="12"/>
      <c r="D5" s="12"/>
      <c r="E5" s="12"/>
      <c r="F5" s="12"/>
      <c r="G5" s="12"/>
      <c r="H5" s="13"/>
    </row>
    <row r="6" spans="2:15">
      <c r="B6" s="14" t="s">
        <v>5</v>
      </c>
      <c r="C6" s="15"/>
      <c r="D6" s="15"/>
      <c r="E6" s="15"/>
      <c r="F6" s="15"/>
      <c r="G6" s="15"/>
      <c r="H6" s="16"/>
    </row>
    <row r="7" spans="2:15">
      <c r="B7" s="17" t="s">
        <v>6</v>
      </c>
      <c r="C7" s="18"/>
      <c r="D7" s="18"/>
      <c r="E7" s="18"/>
      <c r="F7" s="18"/>
      <c r="G7" s="18"/>
      <c r="H7" s="19"/>
    </row>
    <row r="8" ht="15.75" customHeight="1" spans="2:15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15">
      <c r="B9" s="25" t="s">
        <v>9</v>
      </c>
      <c r="C9" s="21"/>
      <c r="D9" s="26" t="s">
        <v>10</v>
      </c>
      <c r="E9" s="26"/>
      <c r="F9" s="21" t="s">
        <v>167</v>
      </c>
      <c r="G9" s="31" t="s">
        <v>12</v>
      </c>
      <c r="H9" s="29">
        <v>46292</v>
      </c>
      <c r="O9" t="s">
        <v>37</v>
      </c>
    </row>
    <row r="10" spans="2:15">
      <c r="B10" s="20" t="s">
        <v>13</v>
      </c>
      <c r="C10" s="21"/>
      <c r="D10" s="26" t="s">
        <v>14</v>
      </c>
      <c r="E10" s="26"/>
      <c r="F10" s="21" t="s">
        <v>167</v>
      </c>
      <c r="G10" s="31" t="s">
        <v>12</v>
      </c>
      <c r="H10" s="29">
        <v>46292</v>
      </c>
    </row>
    <row r="11" spans="2:15">
      <c r="B11" s="20" t="s">
        <v>15</v>
      </c>
      <c r="C11" s="21"/>
      <c r="D11" s="26" t="s">
        <v>16</v>
      </c>
      <c r="E11" s="26"/>
      <c r="F11" s="121" t="s">
        <v>168</v>
      </c>
      <c r="G11" s="31" t="s">
        <v>12</v>
      </c>
      <c r="H11" s="29">
        <v>46284</v>
      </c>
    </row>
    <row r="12" spans="2:15">
      <c r="B12" s="20" t="s">
        <v>17</v>
      </c>
      <c r="C12" s="21"/>
      <c r="D12" s="26" t="s">
        <v>152</v>
      </c>
      <c r="E12" s="26"/>
      <c r="F12" s="122" t="s">
        <v>169</v>
      </c>
      <c r="G12" s="31" t="s">
        <v>12</v>
      </c>
      <c r="H12" s="29">
        <v>46292</v>
      </c>
    </row>
    <row r="13" spans="2:15">
      <c r="B13" s="20" t="s">
        <v>20</v>
      </c>
      <c r="C13" s="21"/>
      <c r="D13" s="26" t="s">
        <v>21</v>
      </c>
      <c r="E13" s="26"/>
      <c r="F13" s="21" t="s">
        <v>154</v>
      </c>
      <c r="G13" s="123" t="s">
        <v>12</v>
      </c>
      <c r="H13" s="124"/>
    </row>
    <row r="14" spans="2:15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15">
      <c r="B15" s="37" t="s">
        <v>26</v>
      </c>
      <c r="C15" s="38"/>
      <c r="D15" s="38" t="s">
        <v>27</v>
      </c>
      <c r="E15" s="38"/>
      <c r="F15" s="38" t="s">
        <v>28</v>
      </c>
      <c r="G15" s="39" t="s">
        <v>29</v>
      </c>
      <c r="H15" s="40"/>
      <c r="L15" t="s">
        <v>37</v>
      </c>
    </row>
    <row r="16" ht="3.75" customHeight="1"/>
    <row r="17" ht="30.75" spans="2:16">
      <c r="B17" s="125" t="s">
        <v>30</v>
      </c>
      <c r="C17" s="126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P17" t="s">
        <v>155</v>
      </c>
    </row>
    <row r="18" customHeight="1" spans="2:16">
      <c r="B18" s="127">
        <v>1</v>
      </c>
      <c r="C18" s="48" t="s">
        <v>170</v>
      </c>
      <c r="D18" s="128">
        <v>82073000</v>
      </c>
      <c r="E18" s="129" t="s">
        <v>39</v>
      </c>
      <c r="F18" s="130">
        <v>1</v>
      </c>
      <c r="G18" s="131">
        <v>5000</v>
      </c>
      <c r="H18" s="132">
        <f>SUM(F18*G18)</f>
        <v>5000</v>
      </c>
    </row>
    <row r="19" customHeight="1" spans="2:16">
      <c r="B19" s="62"/>
      <c r="C19" s="55" t="s">
        <v>171</v>
      </c>
      <c r="D19" s="128"/>
      <c r="E19" s="129"/>
      <c r="F19" s="130"/>
      <c r="G19" s="131"/>
      <c r="H19" s="132"/>
    </row>
    <row r="20" spans="2:16">
      <c r="B20" s="127"/>
      <c r="C20" s="133"/>
      <c r="D20" s="128"/>
      <c r="E20" s="129"/>
      <c r="F20" s="130"/>
      <c r="G20" s="131"/>
      <c r="H20" s="132"/>
    </row>
    <row r="21" spans="2:16">
      <c r="B21" s="62"/>
      <c r="C21" s="134"/>
      <c r="D21" s="128"/>
      <c r="E21" s="129"/>
      <c r="F21" s="130"/>
      <c r="G21" s="131"/>
      <c r="H21" s="132"/>
    </row>
    <row r="22" spans="2:16">
      <c r="B22" s="62"/>
      <c r="C22" s="134"/>
      <c r="D22" s="128"/>
      <c r="E22" s="129"/>
      <c r="F22" s="130"/>
      <c r="G22" s="131"/>
      <c r="H22" s="132"/>
    </row>
    <row r="23" spans="2:16">
      <c r="B23" s="127"/>
      <c r="C23" s="134"/>
      <c r="D23" s="128"/>
      <c r="E23" s="129"/>
      <c r="F23" s="130"/>
      <c r="G23" s="135"/>
      <c r="H23" s="132"/>
    </row>
    <row r="24" spans="2:16">
      <c r="B24" s="62"/>
      <c r="C24" s="134"/>
      <c r="D24" s="128"/>
      <c r="E24" s="129"/>
      <c r="F24" s="130"/>
      <c r="G24" s="131"/>
      <c r="H24" s="132"/>
    </row>
    <row r="25" spans="2:16">
      <c r="B25" s="62"/>
      <c r="C25" s="134"/>
      <c r="D25" s="128"/>
      <c r="E25" s="129"/>
      <c r="F25" s="130"/>
      <c r="G25" s="70"/>
      <c r="H25" s="132"/>
      <c r="O25" t="s">
        <v>37</v>
      </c>
    </row>
    <row r="26" spans="2:16">
      <c r="B26" s="62"/>
      <c r="C26" s="134"/>
      <c r="D26" s="128"/>
      <c r="E26" s="129"/>
      <c r="F26" s="130"/>
      <c r="G26" s="131"/>
      <c r="H26" s="132"/>
    </row>
    <row r="27" spans="2:16">
      <c r="B27" s="62"/>
      <c r="C27" s="121"/>
      <c r="D27" s="128"/>
      <c r="E27" s="129"/>
      <c r="F27" s="130"/>
      <c r="G27" s="70"/>
      <c r="H27" s="132"/>
    </row>
    <row r="28" spans="2:16">
      <c r="B28" s="62"/>
      <c r="C28" s="121"/>
      <c r="D28" s="27"/>
      <c r="E28" s="27"/>
      <c r="F28" s="66"/>
      <c r="G28" s="70"/>
      <c r="H28" s="132"/>
    </row>
    <row r="29" spans="2:16">
      <c r="B29" s="62"/>
      <c r="C29" s="121"/>
      <c r="D29" s="128"/>
      <c r="E29" s="129"/>
      <c r="F29" s="130"/>
      <c r="G29" s="21"/>
      <c r="H29" s="74"/>
    </row>
    <row r="30" spans="2:16">
      <c r="B30" s="54"/>
      <c r="C30" s="121"/>
      <c r="D30" s="128"/>
      <c r="E30" s="129"/>
      <c r="F30" s="130"/>
      <c r="G30" s="70"/>
      <c r="H30" s="132"/>
    </row>
    <row r="31" spans="2:16">
      <c r="B31" s="20"/>
      <c r="C31" s="121"/>
      <c r="D31" s="21"/>
      <c r="E31" s="21"/>
      <c r="F31" s="66"/>
      <c r="G31" s="21"/>
      <c r="H31" s="74"/>
    </row>
    <row r="32" ht="21" spans="2:16">
      <c r="B32" s="136" t="s">
        <v>158</v>
      </c>
      <c r="C32" s="137"/>
      <c r="D32" s="66" t="s">
        <v>43</v>
      </c>
      <c r="E32" s="73"/>
      <c r="F32" s="27">
        <f>SUM(F18:F31)</f>
        <v>1</v>
      </c>
      <c r="G32" s="21"/>
      <c r="H32" s="74"/>
    </row>
    <row r="33" spans="2:9">
      <c r="B33" s="75"/>
      <c r="C33" s="76"/>
      <c r="D33" s="76"/>
      <c r="E33" s="77"/>
      <c r="F33" s="26" t="s">
        <v>44</v>
      </c>
      <c r="G33" s="26"/>
      <c r="H33" s="78">
        <f>SUM(H18:H32)</f>
        <v>5000</v>
      </c>
    </row>
    <row r="34" spans="2:9">
      <c r="B34" s="79" t="s">
        <v>45</v>
      </c>
      <c r="C34" s="80"/>
      <c r="E34" s="81"/>
      <c r="F34" s="21" t="s">
        <v>46</v>
      </c>
      <c r="G34" s="82">
        <v>0.09</v>
      </c>
      <c r="H34" s="78">
        <f>SUM(H33*G34)</f>
        <v>450</v>
      </c>
    </row>
    <row r="35" spans="2:9">
      <c r="B35" s="83" t="s">
        <v>47</v>
      </c>
      <c r="C35" s="84"/>
      <c r="E35" s="81"/>
      <c r="F35" s="21" t="s">
        <v>48</v>
      </c>
      <c r="G35" s="82">
        <v>0.09</v>
      </c>
      <c r="H35" s="78">
        <f>SUM(H33*G35)</f>
        <v>450</v>
      </c>
    </row>
    <row r="36" spans="2:9">
      <c r="B36" s="83" t="s">
        <v>49</v>
      </c>
      <c r="C36" s="84"/>
      <c r="E36" s="81"/>
      <c r="F36" s="21" t="s">
        <v>50</v>
      </c>
      <c r="G36" s="82">
        <v>0.18</v>
      </c>
      <c r="H36" s="85" t="s">
        <v>51</v>
      </c>
    </row>
    <row r="37" spans="2:9">
      <c r="B37" s="83" t="s">
        <v>52</v>
      </c>
      <c r="C37" s="84"/>
      <c r="E37" s="81"/>
      <c r="F37" s="86" t="s">
        <v>53</v>
      </c>
      <c r="G37" s="87"/>
      <c r="H37" s="78">
        <f>SUM(H34:H36)</f>
        <v>900</v>
      </c>
    </row>
    <row r="38" spans="2:9">
      <c r="B38" s="83" t="s">
        <v>54</v>
      </c>
      <c r="C38" s="84"/>
      <c r="E38" s="81"/>
      <c r="F38" s="88" t="s">
        <v>55</v>
      </c>
      <c r="G38" s="88"/>
      <c r="H38" s="89">
        <f>SUM(H33+H37+H40)</f>
        <v>5900</v>
      </c>
    </row>
    <row r="39" spans="2:9">
      <c r="B39" s="90"/>
      <c r="C39" s="91"/>
      <c r="D39" s="91"/>
      <c r="E39" s="92"/>
      <c r="F39" s="93" t="s">
        <v>56</v>
      </c>
      <c r="G39" s="93"/>
      <c r="H39" s="74"/>
    </row>
    <row r="40" ht="14.4" customHeight="1" spans="2:9">
      <c r="B40" s="138" t="s">
        <v>172</v>
      </c>
      <c r="C40" s="139"/>
      <c r="D40" s="139"/>
      <c r="E40" s="140"/>
      <c r="F40" s="86" t="s">
        <v>58</v>
      </c>
      <c r="G40" s="87"/>
      <c r="H40" s="74"/>
    </row>
    <row r="41" ht="15.75" spans="2:9">
      <c r="B41" s="141"/>
      <c r="C41" s="142"/>
      <c r="D41" s="142"/>
      <c r="E41" s="143"/>
      <c r="F41" s="144"/>
      <c r="G41" s="145"/>
      <c r="H41" s="40"/>
    </row>
    <row r="42" spans="2:9">
      <c r="B42" s="100" t="s">
        <v>59</v>
      </c>
      <c r="C42" s="101"/>
      <c r="D42" s="101"/>
      <c r="E42" s="102" t="s">
        <v>60</v>
      </c>
      <c r="F42" s="102"/>
      <c r="G42" s="102"/>
      <c r="H42" s="103"/>
      <c r="I42" s="107"/>
    </row>
    <row r="43" ht="18.75" spans="2:9">
      <c r="B43" s="104" t="s">
        <v>61</v>
      </c>
      <c r="E43" s="105" t="s">
        <v>62</v>
      </c>
      <c r="F43" s="105"/>
      <c r="G43" s="105"/>
      <c r="H43" s="106"/>
    </row>
    <row r="44" ht="18.75" spans="2:9">
      <c r="B44" s="108" t="s">
        <v>160</v>
      </c>
      <c r="C44" s="109"/>
      <c r="D44" s="110"/>
      <c r="E44" s="110"/>
      <c r="F44" s="111"/>
      <c r="G44" s="111"/>
      <c r="H44" s="42"/>
    </row>
    <row r="45" spans="2:9">
      <c r="B45" s="112" t="s">
        <v>64</v>
      </c>
      <c r="C45" s="113"/>
      <c r="D45" s="113"/>
      <c r="E45" s="113"/>
      <c r="F45" s="114"/>
      <c r="G45" s="111"/>
      <c r="H45" s="42"/>
    </row>
    <row r="46" spans="2:9">
      <c r="B46" s="112" t="s">
        <v>65</v>
      </c>
      <c r="C46" s="113"/>
      <c r="D46" s="113"/>
      <c r="E46" s="113"/>
      <c r="F46" s="114"/>
      <c r="G46" s="111"/>
      <c r="H46" s="42"/>
    </row>
    <row r="47" spans="2:9">
      <c r="B47" s="41"/>
      <c r="F47" s="111"/>
      <c r="G47" s="111"/>
      <c r="H47" s="42"/>
    </row>
    <row r="48" ht="15.75" spans="2:9">
      <c r="B48" s="115" t="s">
        <v>66</v>
      </c>
      <c r="C48" s="116"/>
      <c r="D48" s="116"/>
      <c r="E48" s="116"/>
      <c r="F48" s="116"/>
      <c r="G48" s="116"/>
      <c r="H48" s="117" t="s">
        <v>67</v>
      </c>
    </row>
    <row r="49" ht="15.75" spans="2:8">
      <c r="B49" s="1" t="s">
        <v>68</v>
      </c>
      <c r="C49" s="1"/>
      <c r="D49" s="1"/>
      <c r="E49" s="1"/>
      <c r="F49" s="1"/>
      <c r="G49" s="1"/>
      <c r="H49" s="1"/>
    </row>
    <row r="50" ht="21" spans="2:8">
      <c r="B50" s="2" t="s">
        <v>1</v>
      </c>
      <c r="C50" s="3"/>
      <c r="D50" s="3"/>
      <c r="E50" s="3"/>
      <c r="F50" s="3"/>
      <c r="G50" s="3"/>
      <c r="H50" s="4"/>
    </row>
    <row r="51" ht="28.5" spans="2:8">
      <c r="B51" s="5" t="s">
        <v>2</v>
      </c>
      <c r="C51" s="6"/>
      <c r="D51" s="6"/>
      <c r="E51" s="6"/>
      <c r="F51" s="6"/>
      <c r="G51" s="6"/>
      <c r="H51" s="7"/>
    </row>
    <row r="52" spans="2:8">
      <c r="B52" s="8" t="s">
        <v>3</v>
      </c>
      <c r="C52" s="9"/>
      <c r="D52" s="9"/>
      <c r="E52" s="9"/>
      <c r="F52" s="9"/>
      <c r="G52" s="9"/>
      <c r="H52" s="10"/>
    </row>
    <row r="53" ht="21.75" spans="2:8">
      <c r="B53" s="11" t="s">
        <v>4</v>
      </c>
      <c r="C53" s="12"/>
      <c r="D53" s="12"/>
      <c r="E53" s="12"/>
      <c r="F53" s="12"/>
      <c r="G53" s="12"/>
      <c r="H53" s="13"/>
    </row>
    <row r="54" spans="2:8">
      <c r="B54" s="14" t="s">
        <v>5</v>
      </c>
      <c r="C54" s="15"/>
      <c r="D54" s="15"/>
      <c r="E54" s="15"/>
      <c r="F54" s="15"/>
      <c r="G54" s="15"/>
      <c r="H54" s="16"/>
    </row>
    <row r="55" spans="2:8">
      <c r="B55" s="17" t="s">
        <v>6</v>
      </c>
      <c r="C55" s="18"/>
      <c r="D55" s="18"/>
      <c r="E55" s="18"/>
      <c r="F55" s="18"/>
      <c r="G55" s="18"/>
      <c r="H55" s="19"/>
    </row>
    <row r="56" ht="15.75" customHeight="1" spans="2:8">
      <c r="B56" s="20" t="s">
        <v>7</v>
      </c>
      <c r="C56" s="21"/>
      <c r="D56" s="22" t="s">
        <v>8</v>
      </c>
      <c r="E56" s="23"/>
      <c r="F56" s="23"/>
      <c r="G56" s="23"/>
      <c r="H56" s="24"/>
    </row>
    <row r="57" ht="21" spans="2:8">
      <c r="B57" s="25" t="s">
        <v>9</v>
      </c>
      <c r="C57" s="21"/>
      <c r="D57" s="26" t="s">
        <v>10</v>
      </c>
      <c r="E57" s="26"/>
      <c r="F57" s="21" t="s">
        <v>167</v>
      </c>
      <c r="G57" s="31" t="s">
        <v>12</v>
      </c>
      <c r="H57" s="29">
        <v>46292</v>
      </c>
    </row>
    <row r="58" spans="2:8">
      <c r="B58" s="20" t="s">
        <v>13</v>
      </c>
      <c r="C58" s="21"/>
      <c r="D58" s="26" t="s">
        <v>14</v>
      </c>
      <c r="E58" s="26"/>
      <c r="F58" s="21" t="s">
        <v>167</v>
      </c>
      <c r="G58" s="31" t="s">
        <v>12</v>
      </c>
      <c r="H58" s="29">
        <v>46292</v>
      </c>
    </row>
    <row r="59" spans="2:8">
      <c r="B59" s="20" t="s">
        <v>15</v>
      </c>
      <c r="C59" s="21"/>
      <c r="D59" s="26" t="s">
        <v>16</v>
      </c>
      <c r="E59" s="26"/>
      <c r="F59" s="121" t="s">
        <v>168</v>
      </c>
      <c r="G59" s="31" t="s">
        <v>12</v>
      </c>
      <c r="H59" s="29">
        <v>46284</v>
      </c>
    </row>
    <row r="60" spans="2:8">
      <c r="B60" s="20" t="s">
        <v>17</v>
      </c>
      <c r="C60" s="21"/>
      <c r="D60" s="26" t="s">
        <v>152</v>
      </c>
      <c r="E60" s="26"/>
      <c r="F60" s="122" t="s">
        <v>169</v>
      </c>
      <c r="G60" s="31" t="s">
        <v>12</v>
      </c>
      <c r="H60" s="29">
        <v>46292</v>
      </c>
    </row>
    <row r="61" spans="2:8">
      <c r="B61" s="20" t="s">
        <v>20</v>
      </c>
      <c r="C61" s="21"/>
      <c r="D61" s="26" t="s">
        <v>21</v>
      </c>
      <c r="E61" s="26"/>
      <c r="F61" s="21" t="s">
        <v>154</v>
      </c>
      <c r="G61" s="123" t="s">
        <v>12</v>
      </c>
      <c r="H61" s="124"/>
    </row>
    <row r="62" spans="2:8">
      <c r="B62" s="35" t="s">
        <v>22</v>
      </c>
      <c r="C62" s="26"/>
      <c r="D62" s="26" t="s">
        <v>23</v>
      </c>
      <c r="E62" s="26"/>
      <c r="F62" s="21" t="s">
        <v>24</v>
      </c>
      <c r="G62" s="28" t="s">
        <v>25</v>
      </c>
      <c r="H62" s="36"/>
    </row>
    <row r="63" ht="15.75" spans="2:8">
      <c r="B63" s="37" t="s">
        <v>26</v>
      </c>
      <c r="C63" s="38"/>
      <c r="D63" s="38" t="s">
        <v>27</v>
      </c>
      <c r="E63" s="38"/>
      <c r="F63" s="38" t="s">
        <v>28</v>
      </c>
      <c r="G63" s="39" t="s">
        <v>29</v>
      </c>
      <c r="H63" s="40"/>
    </row>
    <row r="64" ht="4.5" customHeight="1"/>
    <row r="65" ht="30.75" spans="2:8">
      <c r="B65" s="125" t="s">
        <v>30</v>
      </c>
      <c r="C65" s="126" t="s">
        <v>31</v>
      </c>
      <c r="D65" s="45" t="s">
        <v>32</v>
      </c>
      <c r="E65" s="44" t="s">
        <v>33</v>
      </c>
      <c r="F65" s="44" t="s">
        <v>34</v>
      </c>
      <c r="G65" s="44" t="s">
        <v>35</v>
      </c>
      <c r="H65" s="46" t="s">
        <v>36</v>
      </c>
    </row>
    <row r="66" customHeight="1" spans="2:8">
      <c r="B66" s="127">
        <v>1</v>
      </c>
      <c r="C66" s="48" t="s">
        <v>170</v>
      </c>
      <c r="D66" s="128">
        <v>82073000</v>
      </c>
      <c r="E66" s="129" t="s">
        <v>39</v>
      </c>
      <c r="F66" s="130">
        <v>1</v>
      </c>
      <c r="G66" s="131">
        <v>5000</v>
      </c>
      <c r="H66" s="132">
        <f>SUM(F66*G66)</f>
        <v>5000</v>
      </c>
    </row>
    <row r="67" spans="2:8">
      <c r="B67" s="62"/>
      <c r="C67" s="55" t="s">
        <v>171</v>
      </c>
      <c r="D67" s="128"/>
      <c r="E67" s="129"/>
      <c r="F67" s="130"/>
      <c r="G67" s="131"/>
      <c r="H67" s="132"/>
    </row>
    <row r="68" spans="2:8">
      <c r="B68" s="127"/>
      <c r="C68" s="133"/>
      <c r="D68" s="128"/>
      <c r="E68" s="129"/>
      <c r="F68" s="130"/>
      <c r="G68" s="131"/>
      <c r="H68" s="132"/>
    </row>
    <row r="69" spans="2:8">
      <c r="B69" s="62"/>
      <c r="C69" s="134"/>
      <c r="D69" s="128"/>
      <c r="E69" s="129"/>
      <c r="F69" s="130"/>
      <c r="G69" s="131"/>
      <c r="H69" s="132"/>
    </row>
    <row r="70" spans="2:8">
      <c r="B70" s="62"/>
      <c r="C70" s="134"/>
      <c r="D70" s="128"/>
      <c r="E70" s="129"/>
      <c r="F70" s="130"/>
      <c r="G70" s="131"/>
      <c r="H70" s="132"/>
    </row>
    <row r="71" spans="2:8">
      <c r="B71" s="127"/>
      <c r="C71" s="134"/>
      <c r="D71" s="128"/>
      <c r="E71" s="129"/>
      <c r="F71" s="130"/>
      <c r="G71" s="135"/>
      <c r="H71" s="132"/>
    </row>
    <row r="72" spans="2:8">
      <c r="B72" s="62"/>
      <c r="C72" s="134"/>
      <c r="D72" s="128"/>
      <c r="E72" s="129"/>
      <c r="F72" s="130"/>
      <c r="G72" s="131"/>
      <c r="H72" s="132"/>
    </row>
    <row r="73" spans="2:8">
      <c r="B73" s="62"/>
      <c r="C73" s="134"/>
      <c r="D73" s="128"/>
      <c r="E73" s="129"/>
      <c r="F73" s="130"/>
      <c r="G73" s="70"/>
      <c r="H73" s="132"/>
    </row>
    <row r="74" spans="2:8">
      <c r="B74" s="62"/>
      <c r="C74" s="134"/>
      <c r="D74" s="128"/>
      <c r="E74" s="129"/>
      <c r="F74" s="130"/>
      <c r="G74" s="131"/>
      <c r="H74" s="132"/>
    </row>
    <row r="75" spans="2:8">
      <c r="B75" s="62"/>
      <c r="C75" s="121"/>
      <c r="D75" s="128"/>
      <c r="E75" s="129"/>
      <c r="F75" s="130"/>
      <c r="G75" s="70"/>
      <c r="H75" s="132"/>
    </row>
    <row r="76" spans="2:8">
      <c r="B76" s="62"/>
      <c r="C76" s="121"/>
      <c r="D76" s="27"/>
      <c r="E76" s="27"/>
      <c r="F76" s="66"/>
      <c r="G76" s="70"/>
      <c r="H76" s="132"/>
    </row>
    <row r="77" spans="2:8">
      <c r="B77" s="62"/>
      <c r="C77" s="121"/>
      <c r="D77" s="128"/>
      <c r="E77" s="129"/>
      <c r="F77" s="130"/>
      <c r="G77" s="21"/>
      <c r="H77" s="74"/>
    </row>
    <row r="78" spans="2:8">
      <c r="B78" s="54"/>
      <c r="C78" s="121"/>
      <c r="D78" s="128"/>
      <c r="E78" s="129"/>
      <c r="F78" s="130"/>
      <c r="G78" s="70"/>
      <c r="H78" s="132"/>
    </row>
    <row r="79" spans="2:8">
      <c r="B79" s="20"/>
      <c r="C79" s="121"/>
      <c r="D79" s="21"/>
      <c r="E79" s="21"/>
      <c r="F79" s="66"/>
      <c r="G79" s="21"/>
      <c r="H79" s="74"/>
    </row>
    <row r="80" ht="21" spans="2:8">
      <c r="B80" s="136" t="s">
        <v>158</v>
      </c>
      <c r="C80" s="137"/>
      <c r="D80" s="66" t="s">
        <v>43</v>
      </c>
      <c r="E80" s="73"/>
      <c r="F80" s="27">
        <f>SUM(F66:F79)</f>
        <v>1</v>
      </c>
      <c r="G80" s="21"/>
      <c r="H80" s="74"/>
    </row>
    <row r="81" spans="2:8">
      <c r="B81" s="75"/>
      <c r="C81" s="76"/>
      <c r="D81" s="76"/>
      <c r="E81" s="77"/>
      <c r="F81" s="26" t="s">
        <v>44</v>
      </c>
      <c r="G81" s="26"/>
      <c r="H81" s="78">
        <f>SUM(H66:H80)</f>
        <v>5000</v>
      </c>
    </row>
    <row r="82" spans="2:8">
      <c r="B82" s="79" t="s">
        <v>45</v>
      </c>
      <c r="C82" s="80"/>
      <c r="E82" s="81"/>
      <c r="F82" s="21" t="s">
        <v>46</v>
      </c>
      <c r="G82" s="82">
        <v>0.09</v>
      </c>
      <c r="H82" s="78">
        <f>SUM(H81*G82)</f>
        <v>450</v>
      </c>
    </row>
    <row r="83" spans="2:8">
      <c r="B83" s="83" t="s">
        <v>47</v>
      </c>
      <c r="C83" s="84"/>
      <c r="E83" s="81"/>
      <c r="F83" s="21" t="s">
        <v>48</v>
      </c>
      <c r="G83" s="82">
        <v>0.09</v>
      </c>
      <c r="H83" s="78">
        <f>SUM(H81*G83)</f>
        <v>450</v>
      </c>
    </row>
    <row r="84" spans="2:8">
      <c r="B84" s="83" t="s">
        <v>49</v>
      </c>
      <c r="C84" s="84"/>
      <c r="E84" s="81"/>
      <c r="F84" s="21" t="s">
        <v>50</v>
      </c>
      <c r="G84" s="82">
        <v>0.18</v>
      </c>
      <c r="H84" s="85" t="s">
        <v>51</v>
      </c>
    </row>
    <row r="85" spans="2:8">
      <c r="B85" s="83" t="s">
        <v>52</v>
      </c>
      <c r="C85" s="84"/>
      <c r="E85" s="81"/>
      <c r="F85" s="86" t="s">
        <v>53</v>
      </c>
      <c r="G85" s="87"/>
      <c r="H85" s="78">
        <f>SUM(H82:H84)</f>
        <v>900</v>
      </c>
    </row>
    <row r="86" spans="2:8">
      <c r="B86" s="83" t="s">
        <v>54</v>
      </c>
      <c r="C86" s="84"/>
      <c r="E86" s="81"/>
      <c r="F86" s="88" t="s">
        <v>55</v>
      </c>
      <c r="G86" s="88"/>
      <c r="H86" s="89">
        <f>SUM(H81+H85+H88)</f>
        <v>5900</v>
      </c>
    </row>
    <row r="87" spans="2:8">
      <c r="B87" s="90"/>
      <c r="C87" s="91"/>
      <c r="D87" s="91"/>
      <c r="E87" s="92"/>
      <c r="F87" s="93" t="s">
        <v>56</v>
      </c>
      <c r="G87" s="93"/>
      <c r="H87" s="74"/>
    </row>
    <row r="88" customHeight="1" spans="2:8">
      <c r="B88" s="138" t="s">
        <v>172</v>
      </c>
      <c r="C88" s="139"/>
      <c r="D88" s="139"/>
      <c r="E88" s="140"/>
      <c r="F88" s="86" t="s">
        <v>58</v>
      </c>
      <c r="G88" s="87"/>
      <c r="H88" s="74"/>
    </row>
    <row r="89" ht="15.75" spans="2:8">
      <c r="B89" s="141"/>
      <c r="C89" s="142"/>
      <c r="D89" s="142"/>
      <c r="E89" s="143"/>
      <c r="F89" s="144"/>
      <c r="G89" s="145"/>
      <c r="H89" s="40"/>
    </row>
    <row r="90" spans="2:8">
      <c r="B90" s="100" t="s">
        <v>59</v>
      </c>
      <c r="C90" s="101"/>
      <c r="D90" s="101"/>
      <c r="E90" s="102" t="s">
        <v>60</v>
      </c>
      <c r="F90" s="102"/>
      <c r="G90" s="102"/>
      <c r="H90" s="103"/>
    </row>
    <row r="91" ht="18.75" spans="2:8">
      <c r="B91" s="104" t="s">
        <v>61</v>
      </c>
      <c r="E91" s="105" t="s">
        <v>62</v>
      </c>
      <c r="F91" s="105"/>
      <c r="G91" s="105"/>
      <c r="H91" s="106"/>
    </row>
    <row r="92" ht="18.75" spans="2:8">
      <c r="B92" s="108" t="s">
        <v>160</v>
      </c>
      <c r="C92" s="109"/>
      <c r="D92" s="110"/>
      <c r="E92" s="110"/>
      <c r="F92" s="111"/>
      <c r="G92" s="111"/>
      <c r="H92" s="42"/>
    </row>
    <row r="93" spans="2:8">
      <c r="B93" s="112" t="s">
        <v>64</v>
      </c>
      <c r="C93" s="113"/>
      <c r="D93" s="113"/>
      <c r="E93" s="113"/>
      <c r="F93" s="114"/>
      <c r="G93" s="111"/>
      <c r="H93" s="42"/>
    </row>
    <row r="94" spans="2:8">
      <c r="B94" s="112" t="s">
        <v>65</v>
      </c>
      <c r="C94" s="113"/>
      <c r="D94" s="113"/>
      <c r="E94" s="113"/>
      <c r="F94" s="114"/>
      <c r="G94" s="111"/>
      <c r="H94" s="42"/>
    </row>
    <row r="95" ht="15.75" customHeight="1" spans="2:8">
      <c r="B95" s="41"/>
      <c r="F95" s="111"/>
      <c r="G95" s="111"/>
      <c r="H95" s="42"/>
    </row>
    <row r="96" ht="15.75" spans="2:8">
      <c r="B96" s="115" t="s">
        <v>66</v>
      </c>
      <c r="C96" s="116"/>
      <c r="D96" s="116"/>
      <c r="E96" s="116"/>
      <c r="F96" s="116"/>
      <c r="G96" s="116"/>
      <c r="H96" s="117" t="s">
        <v>67</v>
      </c>
    </row>
    <row r="97" ht="18.75" customHeight="1" spans="2:8">
      <c r="B97" s="1" t="s">
        <v>69</v>
      </c>
      <c r="C97" s="1"/>
      <c r="D97" s="1"/>
      <c r="E97" s="1"/>
      <c r="F97" s="1"/>
      <c r="G97" s="1"/>
      <c r="H97" s="1"/>
    </row>
    <row r="98" ht="21" spans="2:8">
      <c r="B98" s="2" t="s">
        <v>1</v>
      </c>
      <c r="C98" s="3"/>
      <c r="D98" s="3"/>
      <c r="E98" s="3"/>
      <c r="F98" s="3"/>
      <c r="G98" s="3"/>
      <c r="H98" s="4"/>
    </row>
    <row r="99" ht="28.5" spans="2:8">
      <c r="B99" s="5" t="s">
        <v>2</v>
      </c>
      <c r="C99" s="6"/>
      <c r="D99" s="6"/>
      <c r="E99" s="6"/>
      <c r="F99" s="6"/>
      <c r="G99" s="6"/>
      <c r="H99" s="7"/>
    </row>
    <row r="100" spans="2:8">
      <c r="B100" s="8" t="s">
        <v>3</v>
      </c>
      <c r="C100" s="9"/>
      <c r="D100" s="9"/>
      <c r="E100" s="9"/>
      <c r="F100" s="9"/>
      <c r="G100" s="9"/>
      <c r="H100" s="10"/>
    </row>
    <row r="101" ht="21.75" spans="2:8">
      <c r="B101" s="11" t="s">
        <v>4</v>
      </c>
      <c r="C101" s="12"/>
      <c r="D101" s="12"/>
      <c r="E101" s="12"/>
      <c r="F101" s="12"/>
      <c r="G101" s="12"/>
      <c r="H101" s="13"/>
    </row>
    <row r="102" spans="2:8">
      <c r="B102" s="14" t="s">
        <v>5</v>
      </c>
      <c r="C102" s="15"/>
      <c r="D102" s="15"/>
      <c r="E102" s="15"/>
      <c r="F102" s="15"/>
      <c r="G102" s="15"/>
      <c r="H102" s="16"/>
    </row>
    <row r="103" spans="2:8">
      <c r="B103" s="17" t="s">
        <v>6</v>
      </c>
      <c r="C103" s="18"/>
      <c r="D103" s="18"/>
      <c r="E103" s="18"/>
      <c r="F103" s="18"/>
      <c r="G103" s="18"/>
      <c r="H103" s="19"/>
    </row>
    <row r="104" ht="15.75" customHeight="1" spans="2:8">
      <c r="B104" s="20" t="s">
        <v>7</v>
      </c>
      <c r="C104" s="21"/>
      <c r="D104" s="22" t="s">
        <v>8</v>
      </c>
      <c r="E104" s="23"/>
      <c r="F104" s="23"/>
      <c r="G104" s="23"/>
      <c r="H104" s="24"/>
    </row>
    <row r="105" ht="21" spans="2:8">
      <c r="B105" s="25" t="s">
        <v>9</v>
      </c>
      <c r="C105" s="21"/>
      <c r="D105" s="26" t="s">
        <v>10</v>
      </c>
      <c r="E105" s="26"/>
      <c r="F105" s="21" t="s">
        <v>167</v>
      </c>
      <c r="G105" s="31" t="s">
        <v>12</v>
      </c>
      <c r="H105" s="29">
        <v>46292</v>
      </c>
    </row>
    <row r="106" spans="2:8">
      <c r="B106" s="20" t="s">
        <v>13</v>
      </c>
      <c r="C106" s="21"/>
      <c r="D106" s="26" t="s">
        <v>14</v>
      </c>
      <c r="E106" s="26"/>
      <c r="F106" s="21" t="s">
        <v>167</v>
      </c>
      <c r="G106" s="31" t="s">
        <v>12</v>
      </c>
      <c r="H106" s="29">
        <v>46292</v>
      </c>
    </row>
    <row r="107" spans="2:8">
      <c r="B107" s="20" t="s">
        <v>15</v>
      </c>
      <c r="C107" s="21"/>
      <c r="D107" s="26" t="s">
        <v>16</v>
      </c>
      <c r="E107" s="26"/>
      <c r="F107" s="121" t="s">
        <v>168</v>
      </c>
      <c r="G107" s="31" t="s">
        <v>12</v>
      </c>
      <c r="H107" s="29">
        <v>46284</v>
      </c>
    </row>
    <row r="108" spans="2:8">
      <c r="B108" s="20" t="s">
        <v>17</v>
      </c>
      <c r="C108" s="21"/>
      <c r="D108" s="26" t="s">
        <v>152</v>
      </c>
      <c r="E108" s="26"/>
      <c r="F108" s="122" t="s">
        <v>169</v>
      </c>
      <c r="G108" s="31" t="s">
        <v>12</v>
      </c>
      <c r="H108" s="29">
        <v>46292</v>
      </c>
    </row>
    <row r="109" spans="2:8">
      <c r="B109" s="20" t="s">
        <v>20</v>
      </c>
      <c r="C109" s="21"/>
      <c r="D109" s="26" t="s">
        <v>21</v>
      </c>
      <c r="E109" s="26"/>
      <c r="F109" s="21" t="s">
        <v>154</v>
      </c>
      <c r="G109" s="123" t="s">
        <v>12</v>
      </c>
      <c r="H109" s="124"/>
    </row>
    <row r="110" spans="2:8">
      <c r="B110" s="35" t="s">
        <v>22</v>
      </c>
      <c r="C110" s="26"/>
      <c r="D110" s="26" t="s">
        <v>23</v>
      </c>
      <c r="E110" s="26"/>
      <c r="F110" s="21" t="s">
        <v>24</v>
      </c>
      <c r="G110" s="28" t="s">
        <v>25</v>
      </c>
      <c r="H110" s="36"/>
    </row>
    <row r="111" ht="15.75" spans="2:8">
      <c r="B111" s="37" t="s">
        <v>26</v>
      </c>
      <c r="C111" s="38"/>
      <c r="D111" s="38" t="s">
        <v>27</v>
      </c>
      <c r="E111" s="38"/>
      <c r="F111" s="38" t="s">
        <v>28</v>
      </c>
      <c r="G111" s="39" t="s">
        <v>29</v>
      </c>
      <c r="H111" s="40"/>
    </row>
    <row r="112" ht="3.75" customHeight="1"/>
    <row r="113" ht="30.75" spans="2:8">
      <c r="B113" s="125" t="s">
        <v>30</v>
      </c>
      <c r="C113" s="126" t="s">
        <v>31</v>
      </c>
      <c r="D113" s="45" t="s">
        <v>32</v>
      </c>
      <c r="E113" s="44" t="s">
        <v>33</v>
      </c>
      <c r="F113" s="44" t="s">
        <v>34</v>
      </c>
      <c r="G113" s="44" t="s">
        <v>35</v>
      </c>
      <c r="H113" s="46" t="s">
        <v>36</v>
      </c>
    </row>
    <row r="114" customHeight="1" spans="2:8">
      <c r="B114" s="127">
        <v>1</v>
      </c>
      <c r="C114" s="48" t="s">
        <v>170</v>
      </c>
      <c r="D114" s="128">
        <v>82073000</v>
      </c>
      <c r="E114" s="129" t="s">
        <v>39</v>
      </c>
      <c r="F114" s="130">
        <v>1</v>
      </c>
      <c r="G114" s="131">
        <v>5000</v>
      </c>
      <c r="H114" s="132">
        <f>SUM(F114*G114)</f>
        <v>5000</v>
      </c>
    </row>
    <row r="115" spans="2:8">
      <c r="B115" s="62"/>
      <c r="C115" s="55" t="s">
        <v>171</v>
      </c>
      <c r="D115" s="128"/>
      <c r="E115" s="129"/>
      <c r="F115" s="130"/>
      <c r="G115" s="131"/>
      <c r="H115" s="132"/>
    </row>
    <row r="116" spans="2:8">
      <c r="B116" s="127"/>
      <c r="C116" s="133"/>
      <c r="D116" s="128"/>
      <c r="E116" s="129"/>
      <c r="F116" s="130"/>
      <c r="G116" s="131"/>
      <c r="H116" s="132"/>
    </row>
    <row r="117" customHeight="1" spans="2:8">
      <c r="B117" s="62"/>
      <c r="C117" s="134"/>
      <c r="D117" s="128"/>
      <c r="E117" s="129"/>
      <c r="F117" s="130"/>
      <c r="G117" s="131"/>
      <c r="H117" s="132"/>
    </row>
    <row r="118" spans="2:8">
      <c r="B118" s="62"/>
      <c r="C118" s="134"/>
      <c r="D118" s="128"/>
      <c r="E118" s="129"/>
      <c r="F118" s="130"/>
      <c r="G118" s="131"/>
      <c r="H118" s="132"/>
    </row>
    <row r="119" spans="2:8">
      <c r="B119" s="127"/>
      <c r="C119" s="134"/>
      <c r="D119" s="128"/>
      <c r="E119" s="129"/>
      <c r="F119" s="130"/>
      <c r="G119" s="135"/>
      <c r="H119" s="132"/>
    </row>
    <row r="120" spans="2:8">
      <c r="B120" s="62"/>
      <c r="C120" s="134"/>
      <c r="D120" s="128"/>
      <c r="E120" s="129"/>
      <c r="F120" s="130"/>
      <c r="G120" s="131"/>
      <c r="H120" s="132"/>
    </row>
    <row r="121" spans="2:8">
      <c r="B121" s="62"/>
      <c r="C121" s="134"/>
      <c r="D121" s="128"/>
      <c r="E121" s="129"/>
      <c r="F121" s="130"/>
      <c r="G121" s="70"/>
      <c r="H121" s="132"/>
    </row>
    <row r="122" spans="2:8">
      <c r="B122" s="62"/>
      <c r="C122" s="134"/>
      <c r="D122" s="128"/>
      <c r="E122" s="129"/>
      <c r="F122" s="130"/>
      <c r="G122" s="131"/>
      <c r="H122" s="132"/>
    </row>
    <row r="123" spans="2:8">
      <c r="B123" s="62"/>
      <c r="C123" s="121"/>
      <c r="D123" s="128"/>
      <c r="E123" s="129"/>
      <c r="F123" s="130"/>
      <c r="G123" s="70"/>
      <c r="H123" s="132"/>
    </row>
    <row r="124" spans="2:8">
      <c r="B124" s="62"/>
      <c r="C124" s="121"/>
      <c r="D124" s="27"/>
      <c r="E124" s="27"/>
      <c r="F124" s="66"/>
      <c r="G124" s="70"/>
      <c r="H124" s="132"/>
    </row>
    <row r="125" spans="2:8">
      <c r="B125" s="62"/>
      <c r="C125" s="121"/>
      <c r="D125" s="128"/>
      <c r="E125" s="129"/>
      <c r="F125" s="130"/>
      <c r="G125" s="21"/>
      <c r="H125" s="74"/>
    </row>
    <row r="126" spans="2:8">
      <c r="B126" s="54"/>
      <c r="C126" s="121"/>
      <c r="D126" s="128"/>
      <c r="E126" s="129"/>
      <c r="F126" s="130"/>
      <c r="G126" s="70"/>
      <c r="H126" s="132"/>
    </row>
    <row r="127" spans="2:8">
      <c r="B127" s="20"/>
      <c r="C127" s="121"/>
      <c r="D127" s="21"/>
      <c r="E127" s="21"/>
      <c r="F127" s="66"/>
      <c r="G127" s="21"/>
      <c r="H127" s="74"/>
    </row>
    <row r="128" ht="21" spans="2:8">
      <c r="B128" s="136" t="s">
        <v>158</v>
      </c>
      <c r="C128" s="137"/>
      <c r="D128" s="66" t="s">
        <v>43</v>
      </c>
      <c r="E128" s="73"/>
      <c r="F128" s="27">
        <f>SUM(F114:F127)</f>
        <v>1</v>
      </c>
      <c r="G128" s="21"/>
      <c r="H128" s="74"/>
    </row>
    <row r="129" spans="2:8">
      <c r="B129" s="75"/>
      <c r="C129" s="76"/>
      <c r="D129" s="76"/>
      <c r="E129" s="77"/>
      <c r="F129" s="26" t="s">
        <v>44</v>
      </c>
      <c r="G129" s="26"/>
      <c r="H129" s="78">
        <f>SUM(H114:H128)</f>
        <v>5000</v>
      </c>
    </row>
    <row r="130" spans="2:8">
      <c r="B130" s="79" t="s">
        <v>45</v>
      </c>
      <c r="C130" s="80"/>
      <c r="E130" s="81"/>
      <c r="F130" s="21" t="s">
        <v>46</v>
      </c>
      <c r="G130" s="82">
        <v>0.09</v>
      </c>
      <c r="H130" s="78">
        <f>SUM(H129*G130)</f>
        <v>450</v>
      </c>
    </row>
    <row r="131" spans="2:8">
      <c r="B131" s="83" t="s">
        <v>47</v>
      </c>
      <c r="C131" s="84"/>
      <c r="E131" s="81"/>
      <c r="F131" s="21" t="s">
        <v>48</v>
      </c>
      <c r="G131" s="82">
        <v>0.09</v>
      </c>
      <c r="H131" s="78">
        <f>SUM(H129*G131)</f>
        <v>450</v>
      </c>
    </row>
    <row r="132" spans="2:8">
      <c r="B132" s="83" t="s">
        <v>49</v>
      </c>
      <c r="C132" s="84"/>
      <c r="E132" s="81"/>
      <c r="F132" s="21" t="s">
        <v>50</v>
      </c>
      <c r="G132" s="82">
        <v>0.18</v>
      </c>
      <c r="H132" s="85" t="s">
        <v>51</v>
      </c>
    </row>
    <row r="133" spans="2:8">
      <c r="B133" s="83" t="s">
        <v>52</v>
      </c>
      <c r="C133" s="84"/>
      <c r="E133" s="81"/>
      <c r="F133" s="86" t="s">
        <v>53</v>
      </c>
      <c r="G133" s="87"/>
      <c r="H133" s="78">
        <f>SUM(H130:H132)</f>
        <v>900</v>
      </c>
    </row>
    <row r="134" spans="2:8">
      <c r="B134" s="83" t="s">
        <v>54</v>
      </c>
      <c r="C134" s="84"/>
      <c r="E134" s="81"/>
      <c r="F134" s="88" t="s">
        <v>55</v>
      </c>
      <c r="G134" s="88"/>
      <c r="H134" s="89">
        <f>SUM(H129+H133+H136)</f>
        <v>5900</v>
      </c>
    </row>
    <row r="135" spans="2:8">
      <c r="B135" s="90"/>
      <c r="C135" s="91"/>
      <c r="D135" s="91"/>
      <c r="E135" s="92"/>
      <c r="F135" s="93" t="s">
        <v>56</v>
      </c>
      <c r="G135" s="93"/>
      <c r="H135" s="74"/>
    </row>
    <row r="136" customHeight="1" spans="2:8">
      <c r="B136" s="138" t="s">
        <v>172</v>
      </c>
      <c r="C136" s="139"/>
      <c r="D136" s="139"/>
      <c r="E136" s="140"/>
      <c r="F136" s="86" t="s">
        <v>58</v>
      </c>
      <c r="G136" s="87"/>
      <c r="H136" s="74"/>
    </row>
    <row r="137" ht="15.75" spans="2:8">
      <c r="B137" s="141"/>
      <c r="C137" s="142"/>
      <c r="D137" s="142"/>
      <c r="E137" s="143"/>
      <c r="F137" s="144"/>
      <c r="G137" s="145"/>
      <c r="H137" s="40"/>
    </row>
    <row r="138" spans="2:8">
      <c r="B138" s="100" t="s">
        <v>59</v>
      </c>
      <c r="C138" s="101"/>
      <c r="D138" s="101"/>
      <c r="E138" s="102" t="s">
        <v>60</v>
      </c>
      <c r="F138" s="102"/>
      <c r="G138" s="102"/>
      <c r="H138" s="103"/>
    </row>
    <row r="139" ht="18.75" spans="2:8">
      <c r="B139" s="104" t="s">
        <v>61</v>
      </c>
      <c r="E139" s="105" t="s">
        <v>62</v>
      </c>
      <c r="F139" s="105"/>
      <c r="G139" s="105"/>
      <c r="H139" s="106"/>
    </row>
    <row r="140" ht="18.75" spans="2:8">
      <c r="B140" s="108" t="s">
        <v>160</v>
      </c>
      <c r="C140" s="109"/>
      <c r="D140" s="110"/>
      <c r="E140" s="110"/>
      <c r="F140" s="111"/>
      <c r="G140" s="111"/>
      <c r="H140" s="42"/>
    </row>
    <row r="141" spans="2:8">
      <c r="B141" s="112" t="s">
        <v>64</v>
      </c>
      <c r="C141" s="113"/>
      <c r="D141" s="113"/>
      <c r="E141" s="113"/>
      <c r="F141" s="114"/>
      <c r="G141" s="111"/>
      <c r="H141" s="42"/>
    </row>
    <row r="142" spans="2:8">
      <c r="B142" s="112" t="s">
        <v>65</v>
      </c>
      <c r="C142" s="113"/>
      <c r="D142" s="113"/>
      <c r="E142" s="113"/>
      <c r="F142" s="114"/>
      <c r="G142" s="111"/>
      <c r="H142" s="42"/>
    </row>
    <row r="143" spans="2:8">
      <c r="B143" s="41"/>
      <c r="F143" s="111"/>
      <c r="G143" s="111"/>
      <c r="H143" s="42"/>
    </row>
    <row r="144" ht="15.75" spans="2:8">
      <c r="B144" s="115" t="s">
        <v>66</v>
      </c>
      <c r="C144" s="116"/>
      <c r="D144" s="116"/>
      <c r="E144" s="116"/>
      <c r="F144" s="116"/>
      <c r="G144" s="116"/>
      <c r="H144" s="117" t="s">
        <v>67</v>
      </c>
    </row>
  </sheetData>
  <mergeCells count="51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2:C32"/>
    <mergeCell ref="D32:E32"/>
    <mergeCell ref="F37:G37"/>
    <mergeCell ref="F40:G40"/>
    <mergeCell ref="F41:G41"/>
    <mergeCell ref="E42:H42"/>
    <mergeCell ref="E43:H43"/>
    <mergeCell ref="B49:H49"/>
    <mergeCell ref="B50:H50"/>
    <mergeCell ref="B51:H51"/>
    <mergeCell ref="B52:H52"/>
    <mergeCell ref="B53:H53"/>
    <mergeCell ref="B54:H54"/>
    <mergeCell ref="B55:H55"/>
    <mergeCell ref="D56:H56"/>
    <mergeCell ref="G62:H62"/>
    <mergeCell ref="B80:C80"/>
    <mergeCell ref="D80:E80"/>
    <mergeCell ref="F85:G85"/>
    <mergeCell ref="F88:G88"/>
    <mergeCell ref="F89:G89"/>
    <mergeCell ref="E90:H90"/>
    <mergeCell ref="E91:H91"/>
    <mergeCell ref="B97:H97"/>
    <mergeCell ref="B98:H98"/>
    <mergeCell ref="B99:H99"/>
    <mergeCell ref="B100:H100"/>
    <mergeCell ref="B101:H101"/>
    <mergeCell ref="B102:H102"/>
    <mergeCell ref="B103:H103"/>
    <mergeCell ref="D104:H104"/>
    <mergeCell ref="G110:H110"/>
    <mergeCell ref="B128:C128"/>
    <mergeCell ref="D128:E128"/>
    <mergeCell ref="F133:G133"/>
    <mergeCell ref="F136:G136"/>
    <mergeCell ref="F137:G137"/>
    <mergeCell ref="E138:H138"/>
    <mergeCell ref="E139:H139"/>
    <mergeCell ref="B40:E41"/>
    <mergeCell ref="B88:E89"/>
    <mergeCell ref="B136:E137"/>
  </mergeCells>
  <pageMargins left="0.17" right="0.17" top="0.3" bottom="0.88" header="0.17" footer="0.3"/>
  <pageSetup paperSize="9" orientation="portrait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44"/>
  <sheetViews>
    <sheetView workbookViewId="0">
      <selection activeCell="M15" sqref="M15"/>
    </sheetView>
  </sheetViews>
  <sheetFormatPr defaultColWidth="9" defaultRowHeight="15"/>
  <cols>
    <col min="1" max="1" width="1" customWidth="1"/>
    <col min="2" max="2" width="4.43809523809524" customWidth="1"/>
    <col min="3" max="3" width="41" customWidth="1"/>
    <col min="4" max="4" width="9.66666666666667" customWidth="1"/>
    <col min="5" max="5" width="7.43809523809524" customWidth="1"/>
    <col min="6" max="6" width="16.3333333333333" customWidth="1"/>
    <col min="7" max="7" width="10.4380952380952" customWidth="1"/>
    <col min="8" max="8" width="10.552380952381" customWidth="1"/>
    <col min="9" max="9" width="0.666666666666667" customWidth="1"/>
  </cols>
  <sheetData>
    <row r="1" ht="15.75" spans="2:15">
      <c r="B1" s="1" t="s">
        <v>0</v>
      </c>
      <c r="C1" s="1"/>
      <c r="D1" s="1"/>
      <c r="E1" s="1"/>
      <c r="F1" s="1"/>
      <c r="G1" s="1"/>
      <c r="H1" s="1"/>
    </row>
    <row r="2" ht="21" spans="2:15">
      <c r="B2" s="2" t="s">
        <v>1</v>
      </c>
      <c r="C2" s="3"/>
      <c r="D2" s="3"/>
      <c r="E2" s="3"/>
      <c r="F2" s="3"/>
      <c r="G2" s="3"/>
      <c r="H2" s="4"/>
    </row>
    <row r="3" ht="28.5" spans="2:15">
      <c r="B3" s="5" t="s">
        <v>2</v>
      </c>
      <c r="C3" s="6"/>
      <c r="D3" s="6"/>
      <c r="E3" s="6"/>
      <c r="F3" s="6"/>
      <c r="G3" s="6"/>
      <c r="H3" s="7"/>
    </row>
    <row r="4" spans="2:15">
      <c r="B4" s="8" t="s">
        <v>3</v>
      </c>
      <c r="C4" s="9"/>
      <c r="D4" s="9"/>
      <c r="E4" s="9"/>
      <c r="F4" s="9"/>
      <c r="G4" s="9"/>
      <c r="H4" s="10"/>
    </row>
    <row r="5" ht="21.75" spans="2:15">
      <c r="B5" s="11" t="s">
        <v>4</v>
      </c>
      <c r="C5" s="12"/>
      <c r="D5" s="12"/>
      <c r="E5" s="12"/>
      <c r="F5" s="12"/>
      <c r="G5" s="12"/>
      <c r="H5" s="13"/>
    </row>
    <row r="6" spans="2:15">
      <c r="B6" s="14" t="s">
        <v>5</v>
      </c>
      <c r="C6" s="15"/>
      <c r="D6" s="15"/>
      <c r="E6" s="15"/>
      <c r="F6" s="15"/>
      <c r="G6" s="15"/>
      <c r="H6" s="16"/>
    </row>
    <row r="7" spans="2:15">
      <c r="B7" s="17" t="s">
        <v>6</v>
      </c>
      <c r="C7" s="18"/>
      <c r="D7" s="18"/>
      <c r="E7" s="18"/>
      <c r="F7" s="18"/>
      <c r="G7" s="18"/>
      <c r="H7" s="19"/>
    </row>
    <row r="8" ht="15.75" customHeight="1" spans="2:15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15">
      <c r="B9" s="25" t="s">
        <v>9</v>
      </c>
      <c r="C9" s="21"/>
      <c r="D9" s="26" t="s">
        <v>10</v>
      </c>
      <c r="E9" s="26"/>
      <c r="F9" s="21" t="s">
        <v>173</v>
      </c>
      <c r="G9" s="31" t="s">
        <v>12</v>
      </c>
      <c r="H9" s="29">
        <v>46292</v>
      </c>
      <c r="O9" t="s">
        <v>37</v>
      </c>
    </row>
    <row r="10" spans="2:15">
      <c r="B10" s="20" t="s">
        <v>13</v>
      </c>
      <c r="C10" s="21"/>
      <c r="D10" s="26" t="s">
        <v>14</v>
      </c>
      <c r="E10" s="26"/>
      <c r="F10" s="21" t="s">
        <v>173</v>
      </c>
      <c r="G10" s="31" t="s">
        <v>12</v>
      </c>
      <c r="H10" s="29">
        <v>46292</v>
      </c>
    </row>
    <row r="11" spans="2:15">
      <c r="B11" s="20" t="s">
        <v>15</v>
      </c>
      <c r="C11" s="21"/>
      <c r="D11" s="26" t="s">
        <v>16</v>
      </c>
      <c r="E11" s="26"/>
      <c r="F11" s="121" t="s">
        <v>174</v>
      </c>
      <c r="G11" s="31" t="s">
        <v>12</v>
      </c>
      <c r="H11" s="29">
        <v>46288</v>
      </c>
    </row>
    <row r="12" spans="2:15">
      <c r="B12" s="20" t="s">
        <v>17</v>
      </c>
      <c r="C12" s="21"/>
      <c r="D12" s="26" t="s">
        <v>152</v>
      </c>
      <c r="E12" s="26"/>
      <c r="F12" s="122" t="s">
        <v>175</v>
      </c>
      <c r="G12" s="31" t="s">
        <v>12</v>
      </c>
      <c r="H12" s="29">
        <v>46292</v>
      </c>
    </row>
    <row r="13" spans="2:15">
      <c r="B13" s="20" t="s">
        <v>20</v>
      </c>
      <c r="C13" s="21"/>
      <c r="D13" s="26" t="s">
        <v>21</v>
      </c>
      <c r="E13" s="26"/>
      <c r="F13" s="21" t="s">
        <v>154</v>
      </c>
      <c r="G13" s="123" t="s">
        <v>12</v>
      </c>
      <c r="H13" s="124"/>
    </row>
    <row r="14" spans="2:15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15">
      <c r="B15" s="37" t="s">
        <v>26</v>
      </c>
      <c r="C15" s="38"/>
      <c r="D15" s="38" t="s">
        <v>27</v>
      </c>
      <c r="E15" s="38"/>
      <c r="F15" s="38" t="s">
        <v>28</v>
      </c>
      <c r="G15" s="39" t="s">
        <v>29</v>
      </c>
      <c r="H15" s="40"/>
      <c r="L15" t="s">
        <v>37</v>
      </c>
    </row>
    <row r="16" ht="3.75" customHeight="1"/>
    <row r="17" ht="30.75" spans="2:16">
      <c r="B17" s="125" t="s">
        <v>30</v>
      </c>
      <c r="C17" s="126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P17" t="s">
        <v>155</v>
      </c>
    </row>
    <row r="18" customHeight="1" spans="2:16">
      <c r="B18" s="127">
        <v>1</v>
      </c>
      <c r="C18" s="48" t="s">
        <v>176</v>
      </c>
      <c r="D18" s="128">
        <v>84663020</v>
      </c>
      <c r="E18" s="129" t="s">
        <v>39</v>
      </c>
      <c r="F18" s="130">
        <v>1</v>
      </c>
      <c r="G18" s="131">
        <v>6500</v>
      </c>
      <c r="H18" s="132">
        <f>SUM(F18*G18)</f>
        <v>6500</v>
      </c>
    </row>
    <row r="19" customHeight="1" spans="2:16">
      <c r="B19" s="62"/>
      <c r="C19" s="55" t="s">
        <v>177</v>
      </c>
      <c r="D19" s="128"/>
      <c r="E19" s="129"/>
      <c r="F19" s="130"/>
      <c r="G19" s="131"/>
      <c r="H19" s="132"/>
    </row>
    <row r="20" spans="2:16">
      <c r="B20" s="127"/>
      <c r="C20" s="133"/>
      <c r="D20" s="128"/>
      <c r="E20" s="129"/>
      <c r="F20" s="130"/>
      <c r="G20" s="131"/>
      <c r="H20" s="132"/>
    </row>
    <row r="21" spans="2:16">
      <c r="B21" s="62"/>
      <c r="C21" s="134"/>
      <c r="D21" s="128"/>
      <c r="E21" s="129"/>
      <c r="F21" s="130"/>
      <c r="G21" s="131"/>
      <c r="H21" s="132"/>
    </row>
    <row r="22" spans="2:16">
      <c r="B22" s="62"/>
      <c r="C22" s="134"/>
      <c r="D22" s="128"/>
      <c r="E22" s="129"/>
      <c r="F22" s="130"/>
      <c r="G22" s="131"/>
      <c r="H22" s="132"/>
    </row>
    <row r="23" spans="2:16">
      <c r="B23" s="127"/>
      <c r="C23" s="134"/>
      <c r="D23" s="128"/>
      <c r="E23" s="129"/>
      <c r="F23" s="130"/>
      <c r="G23" s="135"/>
      <c r="H23" s="132"/>
    </row>
    <row r="24" spans="2:16">
      <c r="B24" s="62"/>
      <c r="C24" s="134"/>
      <c r="D24" s="128"/>
      <c r="E24" s="129"/>
      <c r="F24" s="130"/>
      <c r="G24" s="131"/>
      <c r="H24" s="132"/>
    </row>
    <row r="25" spans="2:16">
      <c r="B25" s="62"/>
      <c r="C25" s="134"/>
      <c r="D25" s="128"/>
      <c r="E25" s="129"/>
      <c r="F25" s="130"/>
      <c r="G25" s="70"/>
      <c r="H25" s="132"/>
      <c r="O25" t="s">
        <v>37</v>
      </c>
    </row>
    <row r="26" spans="2:16">
      <c r="B26" s="62"/>
      <c r="C26" s="134"/>
      <c r="D26" s="128"/>
      <c r="E26" s="129"/>
      <c r="F26" s="130"/>
      <c r="G26" s="131"/>
      <c r="H26" s="132"/>
    </row>
    <row r="27" spans="2:16">
      <c r="B27" s="62"/>
      <c r="C27" s="121"/>
      <c r="D27" s="128"/>
      <c r="E27" s="129"/>
      <c r="F27" s="130"/>
      <c r="G27" s="70"/>
      <c r="H27" s="132"/>
    </row>
    <row r="28" spans="2:16">
      <c r="B28" s="62"/>
      <c r="C28" s="121"/>
      <c r="D28" s="27"/>
      <c r="E28" s="27"/>
      <c r="F28" s="66"/>
      <c r="G28" s="70"/>
      <c r="H28" s="132"/>
    </row>
    <row r="29" spans="2:16">
      <c r="B29" s="62"/>
      <c r="C29" s="121"/>
      <c r="D29" s="128"/>
      <c r="E29" s="129"/>
      <c r="F29" s="130"/>
      <c r="G29" s="21"/>
      <c r="H29" s="74"/>
    </row>
    <row r="30" spans="2:16">
      <c r="B30" s="54"/>
      <c r="C30" s="121"/>
      <c r="D30" s="128"/>
      <c r="E30" s="129"/>
      <c r="F30" s="130"/>
      <c r="G30" s="70"/>
      <c r="H30" s="132"/>
    </row>
    <row r="31" spans="2:16">
      <c r="B31" s="20"/>
      <c r="C31" s="121"/>
      <c r="D31" s="21"/>
      <c r="E31" s="21"/>
      <c r="F31" s="66"/>
      <c r="G31" s="21"/>
      <c r="H31" s="74"/>
    </row>
    <row r="32" ht="21" spans="2:16">
      <c r="B32" s="136" t="s">
        <v>158</v>
      </c>
      <c r="C32" s="137"/>
      <c r="D32" s="66" t="s">
        <v>43</v>
      </c>
      <c r="E32" s="73"/>
      <c r="F32" s="27">
        <f>SUM(F18:F31)</f>
        <v>1</v>
      </c>
      <c r="G32" s="21"/>
      <c r="H32" s="74"/>
    </row>
    <row r="33" spans="2:9">
      <c r="B33" s="75"/>
      <c r="C33" s="76"/>
      <c r="D33" s="76"/>
      <c r="E33" s="77"/>
      <c r="F33" s="26" t="s">
        <v>44</v>
      </c>
      <c r="G33" s="26"/>
      <c r="H33" s="78">
        <f>SUM(H18:H32)</f>
        <v>6500</v>
      </c>
    </row>
    <row r="34" spans="2:9">
      <c r="B34" s="79" t="s">
        <v>45</v>
      </c>
      <c r="C34" s="80"/>
      <c r="E34" s="81"/>
      <c r="F34" s="21" t="s">
        <v>46</v>
      </c>
      <c r="G34" s="82">
        <v>0.09</v>
      </c>
      <c r="H34" s="78">
        <f>SUM(H33*G34)</f>
        <v>585</v>
      </c>
    </row>
    <row r="35" spans="2:9">
      <c r="B35" s="83" t="s">
        <v>47</v>
      </c>
      <c r="C35" s="84"/>
      <c r="E35" s="81"/>
      <c r="F35" s="21" t="s">
        <v>48</v>
      </c>
      <c r="G35" s="82">
        <v>0.09</v>
      </c>
      <c r="H35" s="78">
        <f>SUM(H33*G35)</f>
        <v>585</v>
      </c>
    </row>
    <row r="36" spans="2:9">
      <c r="B36" s="83" t="s">
        <v>49</v>
      </c>
      <c r="C36" s="84"/>
      <c r="E36" s="81"/>
      <c r="F36" s="21" t="s">
        <v>50</v>
      </c>
      <c r="G36" s="82">
        <v>0.18</v>
      </c>
      <c r="H36" s="85" t="s">
        <v>51</v>
      </c>
    </row>
    <row r="37" spans="2:9">
      <c r="B37" s="83" t="s">
        <v>52</v>
      </c>
      <c r="C37" s="84"/>
      <c r="E37" s="81"/>
      <c r="F37" s="86" t="s">
        <v>53</v>
      </c>
      <c r="G37" s="87"/>
      <c r="H37" s="78">
        <f>SUM(H34:H36)</f>
        <v>1170</v>
      </c>
    </row>
    <row r="38" spans="2:9">
      <c r="B38" s="83" t="s">
        <v>54</v>
      </c>
      <c r="C38" s="84"/>
      <c r="E38" s="81"/>
      <c r="F38" s="88" t="s">
        <v>55</v>
      </c>
      <c r="G38" s="88"/>
      <c r="H38" s="89">
        <f>SUM(H33+H37+H40)</f>
        <v>7670</v>
      </c>
    </row>
    <row r="39" spans="2:9">
      <c r="B39" s="90"/>
      <c r="C39" s="91"/>
      <c r="D39" s="91"/>
      <c r="E39" s="92"/>
      <c r="F39" s="93" t="s">
        <v>56</v>
      </c>
      <c r="G39" s="93"/>
      <c r="H39" s="74"/>
    </row>
    <row r="40" ht="14.4" customHeight="1" spans="2:9">
      <c r="B40" s="138" t="s">
        <v>178</v>
      </c>
      <c r="C40" s="139"/>
      <c r="D40" s="139"/>
      <c r="E40" s="140"/>
      <c r="F40" s="86" t="s">
        <v>58</v>
      </c>
      <c r="G40" s="87"/>
      <c r="H40" s="74"/>
    </row>
    <row r="41" ht="15.75" spans="2:9">
      <c r="B41" s="141"/>
      <c r="C41" s="142"/>
      <c r="D41" s="142"/>
      <c r="E41" s="143"/>
      <c r="F41" s="144"/>
      <c r="G41" s="145"/>
      <c r="H41" s="40"/>
    </row>
    <row r="42" spans="2:9">
      <c r="B42" s="100" t="s">
        <v>59</v>
      </c>
      <c r="C42" s="101"/>
      <c r="D42" s="101"/>
      <c r="E42" s="102" t="s">
        <v>60</v>
      </c>
      <c r="F42" s="102"/>
      <c r="G42" s="102"/>
      <c r="H42" s="103"/>
      <c r="I42" s="107"/>
    </row>
    <row r="43" ht="18.75" spans="2:9">
      <c r="B43" s="104" t="s">
        <v>61</v>
      </c>
      <c r="E43" s="105" t="s">
        <v>62</v>
      </c>
      <c r="F43" s="105"/>
      <c r="G43" s="105"/>
      <c r="H43" s="106"/>
    </row>
    <row r="44" ht="18.75" spans="2:9">
      <c r="B44" s="108" t="s">
        <v>160</v>
      </c>
      <c r="C44" s="109"/>
      <c r="D44" s="110"/>
      <c r="E44" s="110"/>
      <c r="F44" s="111"/>
      <c r="G44" s="111"/>
      <c r="H44" s="42"/>
    </row>
    <row r="45" spans="2:9">
      <c r="B45" s="112" t="s">
        <v>64</v>
      </c>
      <c r="C45" s="113"/>
      <c r="D45" s="113"/>
      <c r="E45" s="113"/>
      <c r="F45" s="114"/>
      <c r="G45" s="111"/>
      <c r="H45" s="42"/>
    </row>
    <row r="46" spans="2:9">
      <c r="B46" s="112" t="s">
        <v>65</v>
      </c>
      <c r="C46" s="113"/>
      <c r="D46" s="113"/>
      <c r="E46" s="113"/>
      <c r="F46" s="114"/>
      <c r="G46" s="111"/>
      <c r="H46" s="42"/>
    </row>
    <row r="47" spans="2:9">
      <c r="B47" s="41"/>
      <c r="F47" s="111"/>
      <c r="G47" s="111"/>
      <c r="H47" s="42"/>
    </row>
    <row r="48" ht="15.75" spans="2:9">
      <c r="B48" s="115" t="s">
        <v>66</v>
      </c>
      <c r="C48" s="116"/>
      <c r="D48" s="116"/>
      <c r="E48" s="116"/>
      <c r="F48" s="116"/>
      <c r="G48" s="116"/>
      <c r="H48" s="117" t="s">
        <v>67</v>
      </c>
    </row>
    <row r="49" ht="15.75" spans="2:8">
      <c r="B49" s="1" t="s">
        <v>68</v>
      </c>
      <c r="C49" s="1"/>
      <c r="D49" s="1"/>
      <c r="E49" s="1"/>
      <c r="F49" s="1"/>
      <c r="G49" s="1"/>
      <c r="H49" s="1"/>
    </row>
    <row r="50" ht="21" spans="2:8">
      <c r="B50" s="2" t="s">
        <v>1</v>
      </c>
      <c r="C50" s="3"/>
      <c r="D50" s="3"/>
      <c r="E50" s="3"/>
      <c r="F50" s="3"/>
      <c r="G50" s="3"/>
      <c r="H50" s="4"/>
    </row>
    <row r="51" ht="28.5" spans="2:8">
      <c r="B51" s="5" t="s">
        <v>2</v>
      </c>
      <c r="C51" s="6"/>
      <c r="D51" s="6"/>
      <c r="E51" s="6"/>
      <c r="F51" s="6"/>
      <c r="G51" s="6"/>
      <c r="H51" s="7"/>
    </row>
    <row r="52" spans="2:8">
      <c r="B52" s="8" t="s">
        <v>3</v>
      </c>
      <c r="C52" s="9"/>
      <c r="D52" s="9"/>
      <c r="E52" s="9"/>
      <c r="F52" s="9"/>
      <c r="G52" s="9"/>
      <c r="H52" s="10"/>
    </row>
    <row r="53" ht="21.75" spans="2:8">
      <c r="B53" s="11" t="s">
        <v>4</v>
      </c>
      <c r="C53" s="12"/>
      <c r="D53" s="12"/>
      <c r="E53" s="12"/>
      <c r="F53" s="12"/>
      <c r="G53" s="12"/>
      <c r="H53" s="13"/>
    </row>
    <row r="54" spans="2:8">
      <c r="B54" s="14" t="s">
        <v>5</v>
      </c>
      <c r="C54" s="15"/>
      <c r="D54" s="15"/>
      <c r="E54" s="15"/>
      <c r="F54" s="15"/>
      <c r="G54" s="15"/>
      <c r="H54" s="16"/>
    </row>
    <row r="55" spans="2:8">
      <c r="B55" s="17" t="s">
        <v>6</v>
      </c>
      <c r="C55" s="18"/>
      <c r="D55" s="18"/>
      <c r="E55" s="18"/>
      <c r="F55" s="18"/>
      <c r="G55" s="18"/>
      <c r="H55" s="19"/>
    </row>
    <row r="56" ht="15.75" customHeight="1" spans="2:8">
      <c r="B56" s="20" t="s">
        <v>7</v>
      </c>
      <c r="C56" s="21"/>
      <c r="D56" s="22" t="s">
        <v>8</v>
      </c>
      <c r="E56" s="23"/>
      <c r="F56" s="23"/>
      <c r="G56" s="23"/>
      <c r="H56" s="24"/>
    </row>
    <row r="57" ht="21" spans="2:8">
      <c r="B57" s="25" t="s">
        <v>9</v>
      </c>
      <c r="C57" s="21"/>
      <c r="D57" s="26" t="s">
        <v>10</v>
      </c>
      <c r="E57" s="26"/>
      <c r="F57" s="21" t="s">
        <v>173</v>
      </c>
      <c r="G57" s="31" t="s">
        <v>12</v>
      </c>
      <c r="H57" s="29">
        <v>46292</v>
      </c>
    </row>
    <row r="58" spans="2:8">
      <c r="B58" s="20" t="s">
        <v>13</v>
      </c>
      <c r="C58" s="21"/>
      <c r="D58" s="26" t="s">
        <v>14</v>
      </c>
      <c r="E58" s="26"/>
      <c r="F58" s="21" t="s">
        <v>173</v>
      </c>
      <c r="G58" s="31" t="s">
        <v>12</v>
      </c>
      <c r="H58" s="29">
        <v>46292</v>
      </c>
    </row>
    <row r="59" spans="2:8">
      <c r="B59" s="20" t="s">
        <v>15</v>
      </c>
      <c r="C59" s="21"/>
      <c r="D59" s="26" t="s">
        <v>16</v>
      </c>
      <c r="E59" s="26"/>
      <c r="F59" s="121" t="s">
        <v>174</v>
      </c>
      <c r="G59" s="31" t="s">
        <v>12</v>
      </c>
      <c r="H59" s="29">
        <v>46288</v>
      </c>
    </row>
    <row r="60" spans="2:8">
      <c r="B60" s="20" t="s">
        <v>17</v>
      </c>
      <c r="C60" s="21"/>
      <c r="D60" s="26" t="s">
        <v>152</v>
      </c>
      <c r="E60" s="26"/>
      <c r="F60" s="122" t="s">
        <v>175</v>
      </c>
      <c r="G60" s="31" t="s">
        <v>12</v>
      </c>
      <c r="H60" s="29">
        <v>46292</v>
      </c>
    </row>
    <row r="61" spans="2:8">
      <c r="B61" s="20" t="s">
        <v>20</v>
      </c>
      <c r="C61" s="21"/>
      <c r="D61" s="26" t="s">
        <v>21</v>
      </c>
      <c r="E61" s="26"/>
      <c r="F61" s="21" t="s">
        <v>154</v>
      </c>
      <c r="G61" s="123" t="s">
        <v>12</v>
      </c>
      <c r="H61" s="124"/>
    </row>
    <row r="62" spans="2:8">
      <c r="B62" s="35" t="s">
        <v>22</v>
      </c>
      <c r="C62" s="26"/>
      <c r="D62" s="26" t="s">
        <v>23</v>
      </c>
      <c r="E62" s="26"/>
      <c r="F62" s="21" t="s">
        <v>24</v>
      </c>
      <c r="G62" s="28" t="s">
        <v>25</v>
      </c>
      <c r="H62" s="36"/>
    </row>
    <row r="63" ht="15.75" spans="2:8">
      <c r="B63" s="37" t="s">
        <v>26</v>
      </c>
      <c r="C63" s="38"/>
      <c r="D63" s="38" t="s">
        <v>27</v>
      </c>
      <c r="E63" s="38"/>
      <c r="F63" s="38" t="s">
        <v>28</v>
      </c>
      <c r="G63" s="39" t="s">
        <v>29</v>
      </c>
      <c r="H63" s="40"/>
    </row>
    <row r="64" ht="4.5" customHeight="1"/>
    <row r="65" ht="30.75" spans="2:8">
      <c r="B65" s="125" t="s">
        <v>30</v>
      </c>
      <c r="C65" s="126" t="s">
        <v>31</v>
      </c>
      <c r="D65" s="45" t="s">
        <v>32</v>
      </c>
      <c r="E65" s="44" t="s">
        <v>33</v>
      </c>
      <c r="F65" s="44" t="s">
        <v>34</v>
      </c>
      <c r="G65" s="44" t="s">
        <v>35</v>
      </c>
      <c r="H65" s="46" t="s">
        <v>36</v>
      </c>
    </row>
    <row r="66" customHeight="1" spans="2:8">
      <c r="B66" s="127">
        <v>1</v>
      </c>
      <c r="C66" s="48" t="s">
        <v>176</v>
      </c>
      <c r="D66" s="128">
        <v>84663020</v>
      </c>
      <c r="E66" s="129" t="s">
        <v>39</v>
      </c>
      <c r="F66" s="130">
        <v>1</v>
      </c>
      <c r="G66" s="131">
        <v>6500</v>
      </c>
      <c r="H66" s="132">
        <f>SUM(F66*G66)</f>
        <v>6500</v>
      </c>
    </row>
    <row r="67" spans="2:8">
      <c r="B67" s="62"/>
      <c r="C67" s="55" t="s">
        <v>177</v>
      </c>
      <c r="D67" s="128"/>
      <c r="E67" s="129"/>
      <c r="F67" s="130"/>
      <c r="G67" s="131"/>
      <c r="H67" s="132"/>
    </row>
    <row r="68" spans="2:8">
      <c r="B68" s="127"/>
      <c r="C68" s="133"/>
      <c r="D68" s="128"/>
      <c r="E68" s="129"/>
      <c r="F68" s="130"/>
      <c r="G68" s="131"/>
      <c r="H68" s="132"/>
    </row>
    <row r="69" spans="2:8">
      <c r="B69" s="62"/>
      <c r="C69" s="134"/>
      <c r="D69" s="128"/>
      <c r="E69" s="129"/>
      <c r="F69" s="130"/>
      <c r="G69" s="131"/>
      <c r="H69" s="132"/>
    </row>
    <row r="70" spans="2:8">
      <c r="B70" s="62"/>
      <c r="C70" s="134"/>
      <c r="D70" s="128"/>
      <c r="E70" s="129"/>
      <c r="F70" s="130"/>
      <c r="G70" s="131"/>
      <c r="H70" s="132"/>
    </row>
    <row r="71" spans="2:8">
      <c r="B71" s="127"/>
      <c r="C71" s="134"/>
      <c r="D71" s="128"/>
      <c r="E71" s="129"/>
      <c r="F71" s="130"/>
      <c r="G71" s="135"/>
      <c r="H71" s="132"/>
    </row>
    <row r="72" spans="2:8">
      <c r="B72" s="62"/>
      <c r="C72" s="134"/>
      <c r="D72" s="128"/>
      <c r="E72" s="129"/>
      <c r="F72" s="130"/>
      <c r="G72" s="131"/>
      <c r="H72" s="132"/>
    </row>
    <row r="73" spans="2:8">
      <c r="B73" s="62"/>
      <c r="C73" s="134"/>
      <c r="D73" s="128"/>
      <c r="E73" s="129"/>
      <c r="F73" s="130"/>
      <c r="G73" s="70"/>
      <c r="H73" s="132"/>
    </row>
    <row r="74" spans="2:8">
      <c r="B74" s="62"/>
      <c r="C74" s="134"/>
      <c r="D74" s="128"/>
      <c r="E74" s="129"/>
      <c r="F74" s="130"/>
      <c r="G74" s="131"/>
      <c r="H74" s="132"/>
    </row>
    <row r="75" spans="2:8">
      <c r="B75" s="62"/>
      <c r="C75" s="121"/>
      <c r="D75" s="128"/>
      <c r="E75" s="129"/>
      <c r="F75" s="130"/>
      <c r="G75" s="70"/>
      <c r="H75" s="132"/>
    </row>
    <row r="76" spans="2:8">
      <c r="B76" s="62"/>
      <c r="C76" s="121"/>
      <c r="D76" s="27"/>
      <c r="E76" s="27"/>
      <c r="F76" s="66"/>
      <c r="G76" s="70"/>
      <c r="H76" s="132"/>
    </row>
    <row r="77" spans="2:8">
      <c r="B77" s="62"/>
      <c r="C77" s="121"/>
      <c r="D77" s="128"/>
      <c r="E77" s="129"/>
      <c r="F77" s="130"/>
      <c r="G77" s="21"/>
      <c r="H77" s="74"/>
    </row>
    <row r="78" spans="2:8">
      <c r="B78" s="54"/>
      <c r="C78" s="121"/>
      <c r="D78" s="128"/>
      <c r="E78" s="129"/>
      <c r="F78" s="130"/>
      <c r="G78" s="70"/>
      <c r="H78" s="132"/>
    </row>
    <row r="79" spans="2:8">
      <c r="B79" s="20"/>
      <c r="C79" s="121"/>
      <c r="D79" s="21"/>
      <c r="E79" s="21"/>
      <c r="F79" s="66"/>
      <c r="G79" s="21"/>
      <c r="H79" s="74"/>
    </row>
    <row r="80" ht="21" spans="2:8">
      <c r="B80" s="136" t="s">
        <v>158</v>
      </c>
      <c r="C80" s="137"/>
      <c r="D80" s="66" t="s">
        <v>43</v>
      </c>
      <c r="E80" s="73"/>
      <c r="F80" s="27">
        <f>SUM(F66:F79)</f>
        <v>1</v>
      </c>
      <c r="G80" s="21"/>
      <c r="H80" s="74"/>
    </row>
    <row r="81" spans="2:8">
      <c r="B81" s="75"/>
      <c r="C81" s="76"/>
      <c r="D81" s="76"/>
      <c r="E81" s="77"/>
      <c r="F81" s="26" t="s">
        <v>44</v>
      </c>
      <c r="G81" s="26"/>
      <c r="H81" s="78">
        <f>SUM(H66:H80)</f>
        <v>6500</v>
      </c>
    </row>
    <row r="82" spans="2:8">
      <c r="B82" s="79" t="s">
        <v>45</v>
      </c>
      <c r="C82" s="80"/>
      <c r="E82" s="81"/>
      <c r="F82" s="21" t="s">
        <v>46</v>
      </c>
      <c r="G82" s="82">
        <v>0.09</v>
      </c>
      <c r="H82" s="78">
        <f>SUM(H81*G82)</f>
        <v>585</v>
      </c>
    </row>
    <row r="83" spans="2:8">
      <c r="B83" s="83" t="s">
        <v>47</v>
      </c>
      <c r="C83" s="84"/>
      <c r="E83" s="81"/>
      <c r="F83" s="21" t="s">
        <v>48</v>
      </c>
      <c r="G83" s="82">
        <v>0.09</v>
      </c>
      <c r="H83" s="78">
        <f>SUM(H81*G83)</f>
        <v>585</v>
      </c>
    </row>
    <row r="84" spans="2:8">
      <c r="B84" s="83" t="s">
        <v>49</v>
      </c>
      <c r="C84" s="84"/>
      <c r="E84" s="81"/>
      <c r="F84" s="21" t="s">
        <v>50</v>
      </c>
      <c r="G84" s="82">
        <v>0.18</v>
      </c>
      <c r="H84" s="85" t="s">
        <v>51</v>
      </c>
    </row>
    <row r="85" spans="2:8">
      <c r="B85" s="83" t="s">
        <v>52</v>
      </c>
      <c r="C85" s="84"/>
      <c r="E85" s="81"/>
      <c r="F85" s="86" t="s">
        <v>53</v>
      </c>
      <c r="G85" s="87"/>
      <c r="H85" s="78">
        <f>SUM(H82:H84)</f>
        <v>1170</v>
      </c>
    </row>
    <row r="86" spans="2:8">
      <c r="B86" s="83" t="s">
        <v>54</v>
      </c>
      <c r="C86" s="84"/>
      <c r="E86" s="81"/>
      <c r="F86" s="88" t="s">
        <v>55</v>
      </c>
      <c r="G86" s="88"/>
      <c r="H86" s="89">
        <f>SUM(H81+H85+H88)</f>
        <v>7670</v>
      </c>
    </row>
    <row r="87" spans="2:8">
      <c r="B87" s="90"/>
      <c r="C87" s="91"/>
      <c r="D87" s="91"/>
      <c r="E87" s="92"/>
      <c r="F87" s="93" t="s">
        <v>56</v>
      </c>
      <c r="G87" s="93"/>
      <c r="H87" s="74"/>
    </row>
    <row r="88" customHeight="1" spans="2:8">
      <c r="B88" s="138" t="s">
        <v>178</v>
      </c>
      <c r="C88" s="139"/>
      <c r="D88" s="139"/>
      <c r="E88" s="140"/>
      <c r="F88" s="86" t="s">
        <v>58</v>
      </c>
      <c r="G88" s="87"/>
      <c r="H88" s="74"/>
    </row>
    <row r="89" ht="15.75" spans="2:8">
      <c r="B89" s="141"/>
      <c r="C89" s="142"/>
      <c r="D89" s="142"/>
      <c r="E89" s="143"/>
      <c r="F89" s="144"/>
      <c r="G89" s="145"/>
      <c r="H89" s="40"/>
    </row>
    <row r="90" spans="2:8">
      <c r="B90" s="100" t="s">
        <v>59</v>
      </c>
      <c r="C90" s="101"/>
      <c r="D90" s="101"/>
      <c r="E90" s="102" t="s">
        <v>60</v>
      </c>
      <c r="F90" s="102"/>
      <c r="G90" s="102"/>
      <c r="H90" s="103"/>
    </row>
    <row r="91" ht="18.75" spans="2:8">
      <c r="B91" s="104" t="s">
        <v>61</v>
      </c>
      <c r="E91" s="105" t="s">
        <v>62</v>
      </c>
      <c r="F91" s="105"/>
      <c r="G91" s="105"/>
      <c r="H91" s="106"/>
    </row>
    <row r="92" ht="18.75" spans="2:8">
      <c r="B92" s="108" t="s">
        <v>160</v>
      </c>
      <c r="C92" s="109"/>
      <c r="D92" s="110"/>
      <c r="E92" s="110"/>
      <c r="F92" s="111"/>
      <c r="G92" s="111"/>
      <c r="H92" s="42"/>
    </row>
    <row r="93" spans="2:8">
      <c r="B93" s="112" t="s">
        <v>64</v>
      </c>
      <c r="C93" s="113"/>
      <c r="D93" s="113"/>
      <c r="E93" s="113"/>
      <c r="F93" s="114"/>
      <c r="G93" s="111"/>
      <c r="H93" s="42"/>
    </row>
    <row r="94" spans="2:8">
      <c r="B94" s="112" t="s">
        <v>65</v>
      </c>
      <c r="C94" s="113"/>
      <c r="D94" s="113"/>
      <c r="E94" s="113"/>
      <c r="F94" s="114"/>
      <c r="G94" s="111"/>
      <c r="H94" s="42"/>
    </row>
    <row r="95" ht="15.75" customHeight="1" spans="2:8">
      <c r="B95" s="41"/>
      <c r="F95" s="111"/>
      <c r="G95" s="111"/>
      <c r="H95" s="42"/>
    </row>
    <row r="96" ht="15.75" spans="2:8">
      <c r="B96" s="115" t="s">
        <v>66</v>
      </c>
      <c r="C96" s="116"/>
      <c r="D96" s="116"/>
      <c r="E96" s="116"/>
      <c r="F96" s="116"/>
      <c r="G96" s="116"/>
      <c r="H96" s="117" t="s">
        <v>67</v>
      </c>
    </row>
    <row r="97" ht="18.75" customHeight="1" spans="2:8">
      <c r="B97" s="1" t="s">
        <v>69</v>
      </c>
      <c r="C97" s="1"/>
      <c r="D97" s="1"/>
      <c r="E97" s="1"/>
      <c r="F97" s="1"/>
      <c r="G97" s="1"/>
      <c r="H97" s="1"/>
    </row>
    <row r="98" ht="21" spans="2:8">
      <c r="B98" s="2" t="s">
        <v>1</v>
      </c>
      <c r="C98" s="3"/>
      <c r="D98" s="3"/>
      <c r="E98" s="3"/>
      <c r="F98" s="3"/>
      <c r="G98" s="3"/>
      <c r="H98" s="4"/>
    </row>
    <row r="99" ht="28.5" spans="2:8">
      <c r="B99" s="5" t="s">
        <v>2</v>
      </c>
      <c r="C99" s="6"/>
      <c r="D99" s="6"/>
      <c r="E99" s="6"/>
      <c r="F99" s="6"/>
      <c r="G99" s="6"/>
      <c r="H99" s="7"/>
    </row>
    <row r="100" spans="2:8">
      <c r="B100" s="8" t="s">
        <v>3</v>
      </c>
      <c r="C100" s="9"/>
      <c r="D100" s="9"/>
      <c r="E100" s="9"/>
      <c r="F100" s="9"/>
      <c r="G100" s="9"/>
      <c r="H100" s="10"/>
    </row>
    <row r="101" ht="21.75" spans="2:8">
      <c r="B101" s="11" t="s">
        <v>4</v>
      </c>
      <c r="C101" s="12"/>
      <c r="D101" s="12"/>
      <c r="E101" s="12"/>
      <c r="F101" s="12"/>
      <c r="G101" s="12"/>
      <c r="H101" s="13"/>
    </row>
    <row r="102" spans="2:8">
      <c r="B102" s="14" t="s">
        <v>5</v>
      </c>
      <c r="C102" s="15"/>
      <c r="D102" s="15"/>
      <c r="E102" s="15"/>
      <c r="F102" s="15"/>
      <c r="G102" s="15"/>
      <c r="H102" s="16"/>
    </row>
    <row r="103" spans="2:8">
      <c r="B103" s="17" t="s">
        <v>6</v>
      </c>
      <c r="C103" s="18"/>
      <c r="D103" s="18"/>
      <c r="E103" s="18"/>
      <c r="F103" s="18"/>
      <c r="G103" s="18"/>
      <c r="H103" s="19"/>
    </row>
    <row r="104" ht="15.75" customHeight="1" spans="2:8">
      <c r="B104" s="20" t="s">
        <v>7</v>
      </c>
      <c r="C104" s="21"/>
      <c r="D104" s="22" t="s">
        <v>8</v>
      </c>
      <c r="E104" s="23"/>
      <c r="F104" s="23"/>
      <c r="G104" s="23"/>
      <c r="H104" s="24"/>
    </row>
    <row r="105" ht="21" spans="2:8">
      <c r="B105" s="25" t="s">
        <v>9</v>
      </c>
      <c r="C105" s="21"/>
      <c r="D105" s="26" t="s">
        <v>10</v>
      </c>
      <c r="E105" s="26"/>
      <c r="F105" s="21" t="s">
        <v>173</v>
      </c>
      <c r="G105" s="31" t="s">
        <v>12</v>
      </c>
      <c r="H105" s="29">
        <v>46292</v>
      </c>
    </row>
    <row r="106" spans="2:8">
      <c r="B106" s="20" t="s">
        <v>13</v>
      </c>
      <c r="C106" s="21"/>
      <c r="D106" s="26" t="s">
        <v>14</v>
      </c>
      <c r="E106" s="26"/>
      <c r="F106" s="21" t="s">
        <v>173</v>
      </c>
      <c r="G106" s="31" t="s">
        <v>12</v>
      </c>
      <c r="H106" s="29">
        <v>46292</v>
      </c>
    </row>
    <row r="107" spans="2:8">
      <c r="B107" s="20" t="s">
        <v>15</v>
      </c>
      <c r="C107" s="21"/>
      <c r="D107" s="26" t="s">
        <v>16</v>
      </c>
      <c r="E107" s="26"/>
      <c r="F107" s="121" t="s">
        <v>174</v>
      </c>
      <c r="G107" s="31" t="s">
        <v>12</v>
      </c>
      <c r="H107" s="29">
        <v>46288</v>
      </c>
    </row>
    <row r="108" spans="2:8">
      <c r="B108" s="20" t="s">
        <v>17</v>
      </c>
      <c r="C108" s="21"/>
      <c r="D108" s="26" t="s">
        <v>152</v>
      </c>
      <c r="E108" s="26"/>
      <c r="F108" s="122" t="s">
        <v>175</v>
      </c>
      <c r="G108" s="31" t="s">
        <v>12</v>
      </c>
      <c r="H108" s="29">
        <v>46292</v>
      </c>
    </row>
    <row r="109" spans="2:8">
      <c r="B109" s="20" t="s">
        <v>20</v>
      </c>
      <c r="C109" s="21"/>
      <c r="D109" s="26" t="s">
        <v>21</v>
      </c>
      <c r="E109" s="26"/>
      <c r="F109" s="21" t="s">
        <v>154</v>
      </c>
      <c r="G109" s="123" t="s">
        <v>12</v>
      </c>
      <c r="H109" s="124"/>
    </row>
    <row r="110" spans="2:8">
      <c r="B110" s="35" t="s">
        <v>22</v>
      </c>
      <c r="C110" s="26"/>
      <c r="D110" s="26" t="s">
        <v>23</v>
      </c>
      <c r="E110" s="26"/>
      <c r="F110" s="21" t="s">
        <v>24</v>
      </c>
      <c r="G110" s="28" t="s">
        <v>25</v>
      </c>
      <c r="H110" s="36"/>
    </row>
    <row r="111" ht="15.75" spans="2:8">
      <c r="B111" s="37" t="s">
        <v>26</v>
      </c>
      <c r="C111" s="38"/>
      <c r="D111" s="38" t="s">
        <v>27</v>
      </c>
      <c r="E111" s="38"/>
      <c r="F111" s="38" t="s">
        <v>28</v>
      </c>
      <c r="G111" s="39" t="s">
        <v>29</v>
      </c>
      <c r="H111" s="40"/>
    </row>
    <row r="112" ht="3.75" customHeight="1"/>
    <row r="113" ht="30.75" spans="2:8">
      <c r="B113" s="125" t="s">
        <v>30</v>
      </c>
      <c r="C113" s="126" t="s">
        <v>31</v>
      </c>
      <c r="D113" s="45" t="s">
        <v>32</v>
      </c>
      <c r="E113" s="44" t="s">
        <v>33</v>
      </c>
      <c r="F113" s="44" t="s">
        <v>34</v>
      </c>
      <c r="G113" s="44" t="s">
        <v>35</v>
      </c>
      <c r="H113" s="46" t="s">
        <v>36</v>
      </c>
    </row>
    <row r="114" customHeight="1" spans="2:8">
      <c r="B114" s="127">
        <v>1</v>
      </c>
      <c r="C114" s="48" t="s">
        <v>176</v>
      </c>
      <c r="D114" s="128">
        <v>84663020</v>
      </c>
      <c r="E114" s="129" t="s">
        <v>39</v>
      </c>
      <c r="F114" s="130">
        <v>1</v>
      </c>
      <c r="G114" s="131">
        <v>6500</v>
      </c>
      <c r="H114" s="132">
        <f>SUM(F114*G114)</f>
        <v>6500</v>
      </c>
    </row>
    <row r="115" spans="2:8">
      <c r="B115" s="62"/>
      <c r="C115" s="55" t="s">
        <v>177</v>
      </c>
      <c r="D115" s="128"/>
      <c r="E115" s="129"/>
      <c r="F115" s="130"/>
      <c r="G115" s="131"/>
      <c r="H115" s="132"/>
    </row>
    <row r="116" spans="2:8">
      <c r="B116" s="127"/>
      <c r="C116" s="133"/>
      <c r="D116" s="128"/>
      <c r="E116" s="129"/>
      <c r="F116" s="130"/>
      <c r="G116" s="131"/>
      <c r="H116" s="132"/>
    </row>
    <row r="117" customHeight="1" spans="2:8">
      <c r="B117" s="62"/>
      <c r="C117" s="134"/>
      <c r="D117" s="128"/>
      <c r="E117" s="129"/>
      <c r="F117" s="130"/>
      <c r="G117" s="131"/>
      <c r="H117" s="132"/>
    </row>
    <row r="118" spans="2:8">
      <c r="B118" s="62"/>
      <c r="C118" s="134"/>
      <c r="D118" s="128"/>
      <c r="E118" s="129"/>
      <c r="F118" s="130"/>
      <c r="G118" s="131"/>
      <c r="H118" s="132"/>
    </row>
    <row r="119" spans="2:8">
      <c r="B119" s="127"/>
      <c r="C119" s="134"/>
      <c r="D119" s="128"/>
      <c r="E119" s="129"/>
      <c r="F119" s="130"/>
      <c r="G119" s="135"/>
      <c r="H119" s="132"/>
    </row>
    <row r="120" spans="2:8">
      <c r="B120" s="62"/>
      <c r="C120" s="134"/>
      <c r="D120" s="128"/>
      <c r="E120" s="129"/>
      <c r="F120" s="130"/>
      <c r="G120" s="131"/>
      <c r="H120" s="132"/>
    </row>
    <row r="121" spans="2:8">
      <c r="B121" s="62"/>
      <c r="C121" s="134"/>
      <c r="D121" s="128"/>
      <c r="E121" s="129"/>
      <c r="F121" s="130"/>
      <c r="G121" s="70"/>
      <c r="H121" s="132"/>
    </row>
    <row r="122" spans="2:8">
      <c r="B122" s="62"/>
      <c r="C122" s="134"/>
      <c r="D122" s="128"/>
      <c r="E122" s="129"/>
      <c r="F122" s="130"/>
      <c r="G122" s="131"/>
      <c r="H122" s="132"/>
    </row>
    <row r="123" spans="2:8">
      <c r="B123" s="62"/>
      <c r="C123" s="121"/>
      <c r="D123" s="128"/>
      <c r="E123" s="129"/>
      <c r="F123" s="130"/>
      <c r="G123" s="70"/>
      <c r="H123" s="132"/>
    </row>
    <row r="124" spans="2:8">
      <c r="B124" s="62"/>
      <c r="C124" s="121"/>
      <c r="D124" s="27"/>
      <c r="E124" s="27"/>
      <c r="F124" s="66"/>
      <c r="G124" s="70"/>
      <c r="H124" s="132"/>
    </row>
    <row r="125" spans="2:8">
      <c r="B125" s="62"/>
      <c r="C125" s="121"/>
      <c r="D125" s="128"/>
      <c r="E125" s="129"/>
      <c r="F125" s="130"/>
      <c r="G125" s="21"/>
      <c r="H125" s="74"/>
    </row>
    <row r="126" spans="2:8">
      <c r="B126" s="54"/>
      <c r="C126" s="121"/>
      <c r="D126" s="128"/>
      <c r="E126" s="129"/>
      <c r="F126" s="130"/>
      <c r="G126" s="70"/>
      <c r="H126" s="132"/>
    </row>
    <row r="127" spans="2:8">
      <c r="B127" s="20"/>
      <c r="C127" s="121"/>
      <c r="D127" s="21"/>
      <c r="E127" s="21"/>
      <c r="F127" s="66"/>
      <c r="G127" s="21"/>
      <c r="H127" s="74"/>
    </row>
    <row r="128" ht="21" spans="2:8">
      <c r="B128" s="136" t="s">
        <v>158</v>
      </c>
      <c r="C128" s="137"/>
      <c r="D128" s="66" t="s">
        <v>43</v>
      </c>
      <c r="E128" s="73"/>
      <c r="F128" s="27">
        <f>SUM(F114:F127)</f>
        <v>1</v>
      </c>
      <c r="G128" s="21"/>
      <c r="H128" s="74"/>
    </row>
    <row r="129" spans="2:8">
      <c r="B129" s="75"/>
      <c r="C129" s="76"/>
      <c r="D129" s="76"/>
      <c r="E129" s="77"/>
      <c r="F129" s="26" t="s">
        <v>44</v>
      </c>
      <c r="G129" s="26"/>
      <c r="H129" s="78">
        <f>SUM(H114:H128)</f>
        <v>6500</v>
      </c>
    </row>
    <row r="130" spans="2:8">
      <c r="B130" s="79" t="s">
        <v>45</v>
      </c>
      <c r="C130" s="80"/>
      <c r="E130" s="81"/>
      <c r="F130" s="21" t="s">
        <v>46</v>
      </c>
      <c r="G130" s="82">
        <v>0.09</v>
      </c>
      <c r="H130" s="78">
        <f>SUM(H129*G130)</f>
        <v>585</v>
      </c>
    </row>
    <row r="131" spans="2:8">
      <c r="B131" s="83" t="s">
        <v>47</v>
      </c>
      <c r="C131" s="84"/>
      <c r="E131" s="81"/>
      <c r="F131" s="21" t="s">
        <v>48</v>
      </c>
      <c r="G131" s="82">
        <v>0.09</v>
      </c>
      <c r="H131" s="78">
        <f>SUM(H129*G131)</f>
        <v>585</v>
      </c>
    </row>
    <row r="132" spans="2:8">
      <c r="B132" s="83" t="s">
        <v>49</v>
      </c>
      <c r="C132" s="84"/>
      <c r="E132" s="81"/>
      <c r="F132" s="21" t="s">
        <v>50</v>
      </c>
      <c r="G132" s="82">
        <v>0.18</v>
      </c>
      <c r="H132" s="85" t="s">
        <v>51</v>
      </c>
    </row>
    <row r="133" spans="2:8">
      <c r="B133" s="83" t="s">
        <v>52</v>
      </c>
      <c r="C133" s="84"/>
      <c r="E133" s="81"/>
      <c r="F133" s="86" t="s">
        <v>53</v>
      </c>
      <c r="G133" s="87"/>
      <c r="H133" s="78">
        <f>SUM(H130:H132)</f>
        <v>1170</v>
      </c>
    </row>
    <row r="134" spans="2:8">
      <c r="B134" s="83" t="s">
        <v>54</v>
      </c>
      <c r="C134" s="84"/>
      <c r="E134" s="81"/>
      <c r="F134" s="88" t="s">
        <v>55</v>
      </c>
      <c r="G134" s="88"/>
      <c r="H134" s="89">
        <f>SUM(H129+H133+H136)</f>
        <v>7670</v>
      </c>
    </row>
    <row r="135" spans="2:8">
      <c r="B135" s="90"/>
      <c r="C135" s="91"/>
      <c r="D135" s="91"/>
      <c r="E135" s="92"/>
      <c r="F135" s="93" t="s">
        <v>56</v>
      </c>
      <c r="G135" s="93"/>
      <c r="H135" s="74"/>
    </row>
    <row r="136" customHeight="1" spans="2:8">
      <c r="B136" s="138" t="s">
        <v>178</v>
      </c>
      <c r="C136" s="139"/>
      <c r="D136" s="139"/>
      <c r="E136" s="140"/>
      <c r="F136" s="86" t="s">
        <v>58</v>
      </c>
      <c r="G136" s="87"/>
      <c r="H136" s="74"/>
    </row>
    <row r="137" ht="15.75" spans="2:8">
      <c r="B137" s="141"/>
      <c r="C137" s="142"/>
      <c r="D137" s="142"/>
      <c r="E137" s="143"/>
      <c r="F137" s="144"/>
      <c r="G137" s="145"/>
      <c r="H137" s="40"/>
    </row>
    <row r="138" spans="2:8">
      <c r="B138" s="100" t="s">
        <v>59</v>
      </c>
      <c r="C138" s="101"/>
      <c r="D138" s="101"/>
      <c r="E138" s="102" t="s">
        <v>60</v>
      </c>
      <c r="F138" s="102"/>
      <c r="G138" s="102"/>
      <c r="H138" s="103"/>
    </row>
    <row r="139" ht="18.75" spans="2:8">
      <c r="B139" s="104" t="s">
        <v>61</v>
      </c>
      <c r="E139" s="105" t="s">
        <v>62</v>
      </c>
      <c r="F139" s="105"/>
      <c r="G139" s="105"/>
      <c r="H139" s="106"/>
    </row>
    <row r="140" ht="18.75" spans="2:8">
      <c r="B140" s="108" t="s">
        <v>160</v>
      </c>
      <c r="C140" s="109"/>
      <c r="D140" s="110"/>
      <c r="E140" s="110"/>
      <c r="F140" s="111"/>
      <c r="G140" s="111"/>
      <c r="H140" s="42"/>
    </row>
    <row r="141" spans="2:8">
      <c r="B141" s="112" t="s">
        <v>64</v>
      </c>
      <c r="C141" s="113"/>
      <c r="D141" s="113"/>
      <c r="E141" s="113"/>
      <c r="F141" s="114"/>
      <c r="G141" s="111"/>
      <c r="H141" s="42"/>
    </row>
    <row r="142" spans="2:8">
      <c r="B142" s="112" t="s">
        <v>65</v>
      </c>
      <c r="C142" s="113"/>
      <c r="D142" s="113"/>
      <c r="E142" s="113"/>
      <c r="F142" s="114"/>
      <c r="G142" s="111"/>
      <c r="H142" s="42"/>
    </row>
    <row r="143" spans="2:8">
      <c r="B143" s="41"/>
      <c r="F143" s="111"/>
      <c r="G143" s="111"/>
      <c r="H143" s="42"/>
    </row>
    <row r="144" ht="15.75" spans="2:8">
      <c r="B144" s="115" t="s">
        <v>66</v>
      </c>
      <c r="C144" s="116"/>
      <c r="D144" s="116"/>
      <c r="E144" s="116"/>
      <c r="F144" s="116"/>
      <c r="G144" s="116"/>
      <c r="H144" s="117" t="s">
        <v>67</v>
      </c>
    </row>
  </sheetData>
  <mergeCells count="51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2:C32"/>
    <mergeCell ref="D32:E32"/>
    <mergeCell ref="F37:G37"/>
    <mergeCell ref="F40:G40"/>
    <mergeCell ref="F41:G41"/>
    <mergeCell ref="E42:H42"/>
    <mergeCell ref="E43:H43"/>
    <mergeCell ref="B49:H49"/>
    <mergeCell ref="B50:H50"/>
    <mergeCell ref="B51:H51"/>
    <mergeCell ref="B52:H52"/>
    <mergeCell ref="B53:H53"/>
    <mergeCell ref="B54:H54"/>
    <mergeCell ref="B55:H55"/>
    <mergeCell ref="D56:H56"/>
    <mergeCell ref="G62:H62"/>
    <mergeCell ref="B80:C80"/>
    <mergeCell ref="D80:E80"/>
    <mergeCell ref="F85:G85"/>
    <mergeCell ref="F88:G88"/>
    <mergeCell ref="F89:G89"/>
    <mergeCell ref="E90:H90"/>
    <mergeCell ref="E91:H91"/>
    <mergeCell ref="B97:H97"/>
    <mergeCell ref="B98:H98"/>
    <mergeCell ref="B99:H99"/>
    <mergeCell ref="B100:H100"/>
    <mergeCell ref="B101:H101"/>
    <mergeCell ref="B102:H102"/>
    <mergeCell ref="B103:H103"/>
    <mergeCell ref="D104:H104"/>
    <mergeCell ref="G110:H110"/>
    <mergeCell ref="B128:C128"/>
    <mergeCell ref="D128:E128"/>
    <mergeCell ref="F133:G133"/>
    <mergeCell ref="F136:G136"/>
    <mergeCell ref="F137:G137"/>
    <mergeCell ref="E138:H138"/>
    <mergeCell ref="E139:H139"/>
    <mergeCell ref="B40:E41"/>
    <mergeCell ref="B88:E89"/>
    <mergeCell ref="B136:E137"/>
  </mergeCells>
  <pageMargins left="0.17" right="0.17" top="0.3" bottom="0.88" header="0.17" footer="0.3"/>
  <pageSetup paperSize="9" orientation="portrait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44"/>
  <sheetViews>
    <sheetView workbookViewId="0">
      <selection activeCell="T6" sqref="T6"/>
    </sheetView>
  </sheetViews>
  <sheetFormatPr defaultColWidth="9" defaultRowHeight="15"/>
  <cols>
    <col min="1" max="1" width="1" customWidth="1"/>
    <col min="2" max="2" width="4.43809523809524" customWidth="1"/>
    <col min="3" max="3" width="41" customWidth="1"/>
    <col min="4" max="4" width="9.66666666666667" customWidth="1"/>
    <col min="5" max="5" width="7.43809523809524" customWidth="1"/>
    <col min="6" max="6" width="16.3333333333333" customWidth="1"/>
    <col min="7" max="7" width="10.4380952380952" customWidth="1"/>
    <col min="8" max="8" width="10.552380952381" customWidth="1"/>
    <col min="9" max="9" width="0.666666666666667" customWidth="1"/>
  </cols>
  <sheetData>
    <row r="1" ht="15.75" spans="2:15">
      <c r="B1" s="1" t="s">
        <v>0</v>
      </c>
      <c r="C1" s="1"/>
      <c r="D1" s="1"/>
      <c r="E1" s="1"/>
      <c r="F1" s="1"/>
      <c r="G1" s="1"/>
      <c r="H1" s="1"/>
    </row>
    <row r="2" ht="21" spans="2:15">
      <c r="B2" s="2" t="s">
        <v>1</v>
      </c>
      <c r="C2" s="3"/>
      <c r="D2" s="3"/>
      <c r="E2" s="3"/>
      <c r="F2" s="3"/>
      <c r="G2" s="3"/>
      <c r="H2" s="4"/>
    </row>
    <row r="3" ht="28.5" spans="2:15">
      <c r="B3" s="5" t="s">
        <v>2</v>
      </c>
      <c r="C3" s="6"/>
      <c r="D3" s="6"/>
      <c r="E3" s="6"/>
      <c r="F3" s="6"/>
      <c r="G3" s="6"/>
      <c r="H3" s="7"/>
    </row>
    <row r="4" spans="2:15">
      <c r="B4" s="8" t="s">
        <v>3</v>
      </c>
      <c r="C4" s="9"/>
      <c r="D4" s="9"/>
      <c r="E4" s="9"/>
      <c r="F4" s="9"/>
      <c r="G4" s="9"/>
      <c r="H4" s="10"/>
    </row>
    <row r="5" ht="21.75" spans="2:15">
      <c r="B5" s="11" t="s">
        <v>4</v>
      </c>
      <c r="C5" s="12"/>
      <c r="D5" s="12"/>
      <c r="E5" s="12"/>
      <c r="F5" s="12"/>
      <c r="G5" s="12"/>
      <c r="H5" s="13"/>
    </row>
    <row r="6" spans="2:15">
      <c r="B6" s="14" t="s">
        <v>5</v>
      </c>
      <c r="C6" s="15"/>
      <c r="D6" s="15"/>
      <c r="E6" s="15"/>
      <c r="F6" s="15"/>
      <c r="G6" s="15"/>
      <c r="H6" s="16"/>
    </row>
    <row r="7" spans="2:15">
      <c r="B7" s="17" t="s">
        <v>6</v>
      </c>
      <c r="C7" s="18"/>
      <c r="D7" s="18"/>
      <c r="E7" s="18"/>
      <c r="F7" s="18"/>
      <c r="G7" s="18"/>
      <c r="H7" s="19"/>
    </row>
    <row r="8" ht="15.75" customHeight="1" spans="2:15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15">
      <c r="B9" s="25" t="s">
        <v>9</v>
      </c>
      <c r="C9" s="21"/>
      <c r="D9" s="26" t="s">
        <v>10</v>
      </c>
      <c r="E9" s="26"/>
      <c r="F9" s="21" t="s">
        <v>179</v>
      </c>
      <c r="G9" s="31" t="s">
        <v>12</v>
      </c>
      <c r="H9" s="29">
        <v>46292</v>
      </c>
      <c r="O9" t="s">
        <v>37</v>
      </c>
    </row>
    <row r="10" spans="2:15">
      <c r="B10" s="20" t="s">
        <v>13</v>
      </c>
      <c r="C10" s="21"/>
      <c r="D10" s="26" t="s">
        <v>14</v>
      </c>
      <c r="E10" s="26"/>
      <c r="F10" s="21" t="s">
        <v>179</v>
      </c>
      <c r="G10" s="31" t="s">
        <v>12</v>
      </c>
      <c r="H10" s="29">
        <v>46292</v>
      </c>
    </row>
    <row r="11" spans="2:15">
      <c r="B11" s="20" t="s">
        <v>15</v>
      </c>
      <c r="C11" s="21"/>
      <c r="D11" s="26" t="s">
        <v>16</v>
      </c>
      <c r="E11" s="26"/>
      <c r="F11" s="121" t="s">
        <v>180</v>
      </c>
      <c r="G11" s="31" t="s">
        <v>12</v>
      </c>
      <c r="H11" s="29">
        <v>46285</v>
      </c>
    </row>
    <row r="12" spans="2:15">
      <c r="B12" s="20" t="s">
        <v>17</v>
      </c>
      <c r="C12" s="21"/>
      <c r="D12" s="26" t="s">
        <v>152</v>
      </c>
      <c r="E12" s="26"/>
      <c r="F12" s="122" t="s">
        <v>181</v>
      </c>
      <c r="G12" s="31" t="s">
        <v>12</v>
      </c>
      <c r="H12" s="29">
        <v>46292</v>
      </c>
    </row>
    <row r="13" spans="2:15">
      <c r="B13" s="20" t="s">
        <v>20</v>
      </c>
      <c r="C13" s="21"/>
      <c r="D13" s="26" t="s">
        <v>21</v>
      </c>
      <c r="E13" s="26"/>
      <c r="F13" s="21" t="s">
        <v>154</v>
      </c>
      <c r="G13" s="123" t="s">
        <v>12</v>
      </c>
      <c r="H13" s="124"/>
    </row>
    <row r="14" spans="2:15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15">
      <c r="B15" s="37" t="s">
        <v>26</v>
      </c>
      <c r="C15" s="38"/>
      <c r="D15" s="38" t="s">
        <v>27</v>
      </c>
      <c r="E15" s="38"/>
      <c r="F15" s="38" t="s">
        <v>28</v>
      </c>
      <c r="G15" s="39" t="s">
        <v>29</v>
      </c>
      <c r="H15" s="40"/>
      <c r="L15" t="s">
        <v>37</v>
      </c>
    </row>
    <row r="16" ht="3.75" customHeight="1"/>
    <row r="17" ht="30.75" spans="2:16">
      <c r="B17" s="125" t="s">
        <v>30</v>
      </c>
      <c r="C17" s="126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P17" t="s">
        <v>155</v>
      </c>
    </row>
    <row r="18" customHeight="1" spans="2:16">
      <c r="B18" s="127">
        <v>1</v>
      </c>
      <c r="C18" s="48" t="s">
        <v>182</v>
      </c>
      <c r="D18" s="128">
        <v>84663020</v>
      </c>
      <c r="E18" s="129" t="s">
        <v>39</v>
      </c>
      <c r="F18" s="130">
        <v>1</v>
      </c>
      <c r="G18" s="131">
        <v>4000</v>
      </c>
      <c r="H18" s="132">
        <f>SUM(F18*G18)</f>
        <v>4000</v>
      </c>
    </row>
    <row r="19" customHeight="1" spans="2:16">
      <c r="B19" s="62"/>
      <c r="C19" s="55" t="s">
        <v>183</v>
      </c>
      <c r="D19" s="128"/>
      <c r="E19" s="129"/>
      <c r="F19" s="130"/>
      <c r="G19" s="131"/>
      <c r="H19" s="132"/>
    </row>
    <row r="20" spans="2:16">
      <c r="B20" s="127"/>
      <c r="C20" s="133"/>
      <c r="D20" s="128"/>
      <c r="E20" s="129"/>
      <c r="F20" s="130"/>
      <c r="G20" s="131"/>
      <c r="H20" s="132"/>
    </row>
    <row r="21" spans="2:16">
      <c r="B21" s="62"/>
      <c r="C21" s="134"/>
      <c r="D21" s="128"/>
      <c r="E21" s="129"/>
      <c r="F21" s="130"/>
      <c r="G21" s="131"/>
      <c r="H21" s="132"/>
    </row>
    <row r="22" spans="2:16">
      <c r="B22" s="62"/>
      <c r="C22" s="134"/>
      <c r="D22" s="128"/>
      <c r="E22" s="129"/>
      <c r="F22" s="130"/>
      <c r="G22" s="131"/>
      <c r="H22" s="132"/>
    </row>
    <row r="23" spans="2:16">
      <c r="B23" s="127"/>
      <c r="C23" s="134"/>
      <c r="D23" s="128"/>
      <c r="E23" s="129"/>
      <c r="F23" s="130"/>
      <c r="G23" s="135"/>
      <c r="H23" s="132"/>
    </row>
    <row r="24" spans="2:16">
      <c r="B24" s="62"/>
      <c r="C24" s="134"/>
      <c r="D24" s="128"/>
      <c r="E24" s="129"/>
      <c r="F24" s="130"/>
      <c r="G24" s="131"/>
      <c r="H24" s="132"/>
    </row>
    <row r="25" spans="2:16">
      <c r="B25" s="62"/>
      <c r="C25" s="134"/>
      <c r="D25" s="128"/>
      <c r="E25" s="129"/>
      <c r="F25" s="130"/>
      <c r="G25" s="70"/>
      <c r="H25" s="132"/>
      <c r="O25" t="s">
        <v>37</v>
      </c>
    </row>
    <row r="26" spans="2:16">
      <c r="B26" s="62"/>
      <c r="C26" s="134"/>
      <c r="D26" s="128"/>
      <c r="E26" s="129"/>
      <c r="F26" s="130"/>
      <c r="G26" s="131"/>
      <c r="H26" s="132"/>
    </row>
    <row r="27" spans="2:16">
      <c r="B27" s="62"/>
      <c r="C27" s="121"/>
      <c r="D27" s="128"/>
      <c r="E27" s="129"/>
      <c r="F27" s="130"/>
      <c r="G27" s="70"/>
      <c r="H27" s="132"/>
    </row>
    <row r="28" spans="2:16">
      <c r="B28" s="62"/>
      <c r="C28" s="121"/>
      <c r="D28" s="27"/>
      <c r="E28" s="27"/>
      <c r="F28" s="66"/>
      <c r="G28" s="70"/>
      <c r="H28" s="132"/>
    </row>
    <row r="29" spans="2:16">
      <c r="B29" s="62"/>
      <c r="C29" s="121"/>
      <c r="D29" s="128"/>
      <c r="E29" s="129"/>
      <c r="F29" s="130"/>
      <c r="G29" s="21"/>
      <c r="H29" s="74"/>
    </row>
    <row r="30" spans="2:16">
      <c r="B30" s="54"/>
      <c r="C30" s="121"/>
      <c r="D30" s="128"/>
      <c r="E30" s="129"/>
      <c r="F30" s="130"/>
      <c r="G30" s="70"/>
      <c r="H30" s="132"/>
    </row>
    <row r="31" spans="2:16">
      <c r="B31" s="20"/>
      <c r="C31" s="121"/>
      <c r="D31" s="21"/>
      <c r="E31" s="21"/>
      <c r="F31" s="66"/>
      <c r="G31" s="21"/>
      <c r="H31" s="74"/>
    </row>
    <row r="32" ht="21" spans="2:16">
      <c r="B32" s="136" t="s">
        <v>158</v>
      </c>
      <c r="C32" s="137"/>
      <c r="D32" s="66" t="s">
        <v>43</v>
      </c>
      <c r="E32" s="73"/>
      <c r="F32" s="27">
        <f>SUM(F18:F31)</f>
        <v>1</v>
      </c>
      <c r="G32" s="21"/>
      <c r="H32" s="74"/>
    </row>
    <row r="33" spans="2:9">
      <c r="B33" s="75"/>
      <c r="C33" s="76"/>
      <c r="D33" s="76"/>
      <c r="E33" s="77"/>
      <c r="F33" s="26" t="s">
        <v>44</v>
      </c>
      <c r="G33" s="26"/>
      <c r="H33" s="78">
        <f>SUM(H18:H32)</f>
        <v>4000</v>
      </c>
    </row>
    <row r="34" spans="2:9">
      <c r="B34" s="79" t="s">
        <v>45</v>
      </c>
      <c r="C34" s="80"/>
      <c r="E34" s="81"/>
      <c r="F34" s="21" t="s">
        <v>46</v>
      </c>
      <c r="G34" s="82">
        <v>0.09</v>
      </c>
      <c r="H34" s="78">
        <f>SUM(H33*G34)</f>
        <v>360</v>
      </c>
    </row>
    <row r="35" spans="2:9">
      <c r="B35" s="83" t="s">
        <v>47</v>
      </c>
      <c r="C35" s="84"/>
      <c r="E35" s="81"/>
      <c r="F35" s="21" t="s">
        <v>48</v>
      </c>
      <c r="G35" s="82">
        <v>0.09</v>
      </c>
      <c r="H35" s="78">
        <f>SUM(H33*G35)</f>
        <v>360</v>
      </c>
    </row>
    <row r="36" spans="2:9">
      <c r="B36" s="83" t="s">
        <v>49</v>
      </c>
      <c r="C36" s="84"/>
      <c r="E36" s="81"/>
      <c r="F36" s="21" t="s">
        <v>50</v>
      </c>
      <c r="G36" s="82">
        <v>0.18</v>
      </c>
      <c r="H36" s="85" t="s">
        <v>51</v>
      </c>
    </row>
    <row r="37" spans="2:9">
      <c r="B37" s="83" t="s">
        <v>52</v>
      </c>
      <c r="C37" s="84"/>
      <c r="E37" s="81"/>
      <c r="F37" s="86" t="s">
        <v>53</v>
      </c>
      <c r="G37" s="87"/>
      <c r="H37" s="78">
        <f>SUM(H34:H36)</f>
        <v>720</v>
      </c>
    </row>
    <row r="38" spans="2:9">
      <c r="B38" s="83" t="s">
        <v>54</v>
      </c>
      <c r="C38" s="84"/>
      <c r="E38" s="81"/>
      <c r="F38" s="88" t="s">
        <v>55</v>
      </c>
      <c r="G38" s="88"/>
      <c r="H38" s="89">
        <f>SUM(H33+H37+H40)</f>
        <v>4720</v>
      </c>
    </row>
    <row r="39" spans="2:9">
      <c r="B39" s="90"/>
      <c r="C39" s="91"/>
      <c r="D39" s="91"/>
      <c r="E39" s="92"/>
      <c r="F39" s="93" t="s">
        <v>56</v>
      </c>
      <c r="G39" s="93"/>
      <c r="H39" s="74"/>
    </row>
    <row r="40" ht="14.4" customHeight="1" spans="2:9">
      <c r="B40" s="138" t="s">
        <v>184</v>
      </c>
      <c r="C40" s="139"/>
      <c r="D40" s="139"/>
      <c r="E40" s="140"/>
      <c r="F40" s="86" t="s">
        <v>58</v>
      </c>
      <c r="G40" s="87"/>
      <c r="H40" s="74"/>
    </row>
    <row r="41" ht="15.75" spans="2:9">
      <c r="B41" s="141"/>
      <c r="C41" s="142"/>
      <c r="D41" s="142"/>
      <c r="E41" s="143"/>
      <c r="F41" s="144"/>
      <c r="G41" s="145"/>
      <c r="H41" s="40"/>
    </row>
    <row r="42" spans="2:9">
      <c r="B42" s="100" t="s">
        <v>59</v>
      </c>
      <c r="C42" s="101"/>
      <c r="D42" s="101"/>
      <c r="E42" s="102" t="s">
        <v>60</v>
      </c>
      <c r="F42" s="102"/>
      <c r="G42" s="102"/>
      <c r="H42" s="103"/>
      <c r="I42" s="107"/>
    </row>
    <row r="43" ht="18.75" spans="2:9">
      <c r="B43" s="104" t="s">
        <v>61</v>
      </c>
      <c r="E43" s="105" t="s">
        <v>62</v>
      </c>
      <c r="F43" s="105"/>
      <c r="G43" s="105"/>
      <c r="H43" s="106"/>
    </row>
    <row r="44" ht="18.75" spans="2:9">
      <c r="B44" s="108" t="s">
        <v>160</v>
      </c>
      <c r="C44" s="109"/>
      <c r="D44" s="110"/>
      <c r="E44" s="110"/>
      <c r="F44" s="111"/>
      <c r="G44" s="111"/>
      <c r="H44" s="42"/>
    </row>
    <row r="45" spans="2:9">
      <c r="B45" s="112" t="s">
        <v>64</v>
      </c>
      <c r="C45" s="113"/>
      <c r="D45" s="113"/>
      <c r="E45" s="113"/>
      <c r="F45" s="114"/>
      <c r="G45" s="111"/>
      <c r="H45" s="42"/>
    </row>
    <row r="46" spans="2:9">
      <c r="B46" s="112" t="s">
        <v>65</v>
      </c>
      <c r="C46" s="113"/>
      <c r="D46" s="113"/>
      <c r="E46" s="113"/>
      <c r="F46" s="114"/>
      <c r="G46" s="111"/>
      <c r="H46" s="42"/>
    </row>
    <row r="47" spans="2:9">
      <c r="B47" s="41"/>
      <c r="F47" s="111"/>
      <c r="G47" s="111"/>
      <c r="H47" s="42"/>
    </row>
    <row r="48" ht="15.75" spans="2:9">
      <c r="B48" s="115" t="s">
        <v>66</v>
      </c>
      <c r="C48" s="116"/>
      <c r="D48" s="116"/>
      <c r="E48" s="116"/>
      <c r="F48" s="116"/>
      <c r="G48" s="116"/>
      <c r="H48" s="117" t="s">
        <v>67</v>
      </c>
    </row>
    <row r="49" ht="15.75" spans="2:8">
      <c r="B49" s="1" t="s">
        <v>68</v>
      </c>
      <c r="C49" s="1"/>
      <c r="D49" s="1"/>
      <c r="E49" s="1"/>
      <c r="F49" s="1"/>
      <c r="G49" s="1"/>
      <c r="H49" s="1"/>
    </row>
    <row r="50" ht="21" spans="2:8">
      <c r="B50" s="2" t="s">
        <v>1</v>
      </c>
      <c r="C50" s="3"/>
      <c r="D50" s="3"/>
      <c r="E50" s="3"/>
      <c r="F50" s="3"/>
      <c r="G50" s="3"/>
      <c r="H50" s="4"/>
    </row>
    <row r="51" ht="28.5" spans="2:8">
      <c r="B51" s="5" t="s">
        <v>2</v>
      </c>
      <c r="C51" s="6"/>
      <c r="D51" s="6"/>
      <c r="E51" s="6"/>
      <c r="F51" s="6"/>
      <c r="G51" s="6"/>
      <c r="H51" s="7"/>
    </row>
    <row r="52" spans="2:8">
      <c r="B52" s="8" t="s">
        <v>3</v>
      </c>
      <c r="C52" s="9"/>
      <c r="D52" s="9"/>
      <c r="E52" s="9"/>
      <c r="F52" s="9"/>
      <c r="G52" s="9"/>
      <c r="H52" s="10"/>
    </row>
    <row r="53" ht="21.75" spans="2:8">
      <c r="B53" s="11" t="s">
        <v>4</v>
      </c>
      <c r="C53" s="12"/>
      <c r="D53" s="12"/>
      <c r="E53" s="12"/>
      <c r="F53" s="12"/>
      <c r="G53" s="12"/>
      <c r="H53" s="13"/>
    </row>
    <row r="54" spans="2:8">
      <c r="B54" s="14" t="s">
        <v>5</v>
      </c>
      <c r="C54" s="15"/>
      <c r="D54" s="15"/>
      <c r="E54" s="15"/>
      <c r="F54" s="15"/>
      <c r="G54" s="15"/>
      <c r="H54" s="16"/>
    </row>
    <row r="55" spans="2:8">
      <c r="B55" s="17" t="s">
        <v>6</v>
      </c>
      <c r="C55" s="18"/>
      <c r="D55" s="18"/>
      <c r="E55" s="18"/>
      <c r="F55" s="18"/>
      <c r="G55" s="18"/>
      <c r="H55" s="19"/>
    </row>
    <row r="56" ht="15.75" customHeight="1" spans="2:8">
      <c r="B56" s="20" t="s">
        <v>7</v>
      </c>
      <c r="C56" s="21"/>
      <c r="D56" s="22" t="s">
        <v>8</v>
      </c>
      <c r="E56" s="23"/>
      <c r="F56" s="23"/>
      <c r="G56" s="23"/>
      <c r="H56" s="24"/>
    </row>
    <row r="57" ht="21" spans="2:8">
      <c r="B57" s="25" t="s">
        <v>9</v>
      </c>
      <c r="C57" s="21"/>
      <c r="D57" s="26" t="s">
        <v>10</v>
      </c>
      <c r="E57" s="26"/>
      <c r="F57" s="21" t="s">
        <v>179</v>
      </c>
      <c r="G57" s="31" t="s">
        <v>12</v>
      </c>
      <c r="H57" s="29">
        <v>46292</v>
      </c>
    </row>
    <row r="58" spans="2:8">
      <c r="B58" s="20" t="s">
        <v>13</v>
      </c>
      <c r="C58" s="21"/>
      <c r="D58" s="26" t="s">
        <v>14</v>
      </c>
      <c r="E58" s="26"/>
      <c r="F58" s="21" t="s">
        <v>179</v>
      </c>
      <c r="G58" s="31" t="s">
        <v>12</v>
      </c>
      <c r="H58" s="29">
        <v>46292</v>
      </c>
    </row>
    <row r="59" spans="2:8">
      <c r="B59" s="20" t="s">
        <v>15</v>
      </c>
      <c r="C59" s="21"/>
      <c r="D59" s="26" t="s">
        <v>16</v>
      </c>
      <c r="E59" s="26"/>
      <c r="F59" s="121" t="s">
        <v>180</v>
      </c>
      <c r="G59" s="31" t="s">
        <v>12</v>
      </c>
      <c r="H59" s="29">
        <v>46285</v>
      </c>
    </row>
    <row r="60" spans="2:8">
      <c r="B60" s="20" t="s">
        <v>17</v>
      </c>
      <c r="C60" s="21"/>
      <c r="D60" s="26" t="s">
        <v>152</v>
      </c>
      <c r="E60" s="26"/>
      <c r="F60" s="122" t="s">
        <v>181</v>
      </c>
      <c r="G60" s="31" t="s">
        <v>12</v>
      </c>
      <c r="H60" s="29">
        <v>46292</v>
      </c>
    </row>
    <row r="61" spans="2:8">
      <c r="B61" s="20" t="s">
        <v>20</v>
      </c>
      <c r="C61" s="21"/>
      <c r="D61" s="26" t="s">
        <v>21</v>
      </c>
      <c r="E61" s="26"/>
      <c r="F61" s="21" t="s">
        <v>154</v>
      </c>
      <c r="G61" s="123" t="s">
        <v>12</v>
      </c>
      <c r="H61" s="124"/>
    </row>
    <row r="62" spans="2:8">
      <c r="B62" s="35" t="s">
        <v>22</v>
      </c>
      <c r="C62" s="26"/>
      <c r="D62" s="26" t="s">
        <v>23</v>
      </c>
      <c r="E62" s="26"/>
      <c r="F62" s="21" t="s">
        <v>24</v>
      </c>
      <c r="G62" s="28" t="s">
        <v>25</v>
      </c>
      <c r="H62" s="36"/>
    </row>
    <row r="63" ht="15.75" spans="2:8">
      <c r="B63" s="37" t="s">
        <v>26</v>
      </c>
      <c r="C63" s="38"/>
      <c r="D63" s="38" t="s">
        <v>27</v>
      </c>
      <c r="E63" s="38"/>
      <c r="F63" s="38" t="s">
        <v>28</v>
      </c>
      <c r="G63" s="39" t="s">
        <v>29</v>
      </c>
      <c r="H63" s="40"/>
    </row>
    <row r="64" ht="4.5" customHeight="1"/>
    <row r="65" ht="30.75" spans="2:8">
      <c r="B65" s="125" t="s">
        <v>30</v>
      </c>
      <c r="C65" s="126" t="s">
        <v>31</v>
      </c>
      <c r="D65" s="45" t="s">
        <v>32</v>
      </c>
      <c r="E65" s="44" t="s">
        <v>33</v>
      </c>
      <c r="F65" s="44" t="s">
        <v>34</v>
      </c>
      <c r="G65" s="44" t="s">
        <v>35</v>
      </c>
      <c r="H65" s="46" t="s">
        <v>36</v>
      </c>
    </row>
    <row r="66" customHeight="1" spans="2:8">
      <c r="B66" s="127">
        <v>1</v>
      </c>
      <c r="C66" s="48" t="s">
        <v>182</v>
      </c>
      <c r="D66" s="128">
        <v>84663020</v>
      </c>
      <c r="E66" s="129" t="s">
        <v>39</v>
      </c>
      <c r="F66" s="130">
        <v>1</v>
      </c>
      <c r="G66" s="131">
        <v>4000</v>
      </c>
      <c r="H66" s="132">
        <f>SUM(F66*G66)</f>
        <v>4000</v>
      </c>
    </row>
    <row r="67" spans="2:8">
      <c r="B67" s="62"/>
      <c r="C67" s="55" t="s">
        <v>183</v>
      </c>
      <c r="D67" s="128"/>
      <c r="E67" s="129"/>
      <c r="F67" s="130"/>
      <c r="G67" s="131"/>
      <c r="H67" s="132"/>
    </row>
    <row r="68" spans="2:8">
      <c r="B68" s="127"/>
      <c r="C68" s="133"/>
      <c r="D68" s="128"/>
      <c r="E68" s="129"/>
      <c r="F68" s="130"/>
      <c r="G68" s="131"/>
      <c r="H68" s="132"/>
    </row>
    <row r="69" spans="2:8">
      <c r="B69" s="62"/>
      <c r="C69" s="134"/>
      <c r="D69" s="128"/>
      <c r="E69" s="129"/>
      <c r="F69" s="130"/>
      <c r="G69" s="131"/>
      <c r="H69" s="132"/>
    </row>
    <row r="70" spans="2:8">
      <c r="B70" s="62"/>
      <c r="C70" s="134"/>
      <c r="D70" s="128"/>
      <c r="E70" s="129"/>
      <c r="F70" s="130"/>
      <c r="G70" s="131"/>
      <c r="H70" s="132"/>
    </row>
    <row r="71" spans="2:8">
      <c r="B71" s="127"/>
      <c r="C71" s="134"/>
      <c r="D71" s="128"/>
      <c r="E71" s="129"/>
      <c r="F71" s="130"/>
      <c r="G71" s="135"/>
      <c r="H71" s="132"/>
    </row>
    <row r="72" spans="2:8">
      <c r="B72" s="62"/>
      <c r="C72" s="134"/>
      <c r="D72" s="128"/>
      <c r="E72" s="129"/>
      <c r="F72" s="130"/>
      <c r="G72" s="131"/>
      <c r="H72" s="132"/>
    </row>
    <row r="73" spans="2:8">
      <c r="B73" s="62"/>
      <c r="C73" s="134"/>
      <c r="D73" s="128"/>
      <c r="E73" s="129"/>
      <c r="F73" s="130"/>
      <c r="G73" s="70"/>
      <c r="H73" s="132"/>
    </row>
    <row r="74" spans="2:8">
      <c r="B74" s="62"/>
      <c r="C74" s="134"/>
      <c r="D74" s="128"/>
      <c r="E74" s="129"/>
      <c r="F74" s="130"/>
      <c r="G74" s="131"/>
      <c r="H74" s="132"/>
    </row>
    <row r="75" spans="2:8">
      <c r="B75" s="62"/>
      <c r="C75" s="121"/>
      <c r="D75" s="128"/>
      <c r="E75" s="129"/>
      <c r="F75" s="130"/>
      <c r="G75" s="70"/>
      <c r="H75" s="132"/>
    </row>
    <row r="76" spans="2:8">
      <c r="B76" s="62"/>
      <c r="C76" s="121"/>
      <c r="D76" s="27"/>
      <c r="E76" s="27"/>
      <c r="F76" s="66"/>
      <c r="G76" s="70"/>
      <c r="H76" s="132"/>
    </row>
    <row r="77" spans="2:8">
      <c r="B77" s="62"/>
      <c r="C77" s="121"/>
      <c r="D77" s="128"/>
      <c r="E77" s="129"/>
      <c r="F77" s="130"/>
      <c r="G77" s="21"/>
      <c r="H77" s="74"/>
    </row>
    <row r="78" spans="2:8">
      <c r="B78" s="54"/>
      <c r="C78" s="121"/>
      <c r="D78" s="128"/>
      <c r="E78" s="129"/>
      <c r="F78" s="130"/>
      <c r="G78" s="70"/>
      <c r="H78" s="132"/>
    </row>
    <row r="79" spans="2:8">
      <c r="B79" s="20"/>
      <c r="C79" s="121"/>
      <c r="D79" s="21"/>
      <c r="E79" s="21"/>
      <c r="F79" s="66"/>
      <c r="G79" s="21"/>
      <c r="H79" s="74"/>
    </row>
    <row r="80" ht="21" spans="2:8">
      <c r="B80" s="136" t="s">
        <v>158</v>
      </c>
      <c r="C80" s="137"/>
      <c r="D80" s="66" t="s">
        <v>43</v>
      </c>
      <c r="E80" s="73"/>
      <c r="F80" s="27">
        <f>SUM(F66:F79)</f>
        <v>1</v>
      </c>
      <c r="G80" s="21"/>
      <c r="H80" s="74"/>
    </row>
    <row r="81" spans="2:8">
      <c r="B81" s="75"/>
      <c r="C81" s="76"/>
      <c r="D81" s="76"/>
      <c r="E81" s="77"/>
      <c r="F81" s="26" t="s">
        <v>44</v>
      </c>
      <c r="G81" s="26"/>
      <c r="H81" s="78">
        <f>SUM(H66:H80)</f>
        <v>4000</v>
      </c>
    </row>
    <row r="82" spans="2:8">
      <c r="B82" s="79" t="s">
        <v>45</v>
      </c>
      <c r="C82" s="80"/>
      <c r="E82" s="81"/>
      <c r="F82" s="21" t="s">
        <v>46</v>
      </c>
      <c r="G82" s="82">
        <v>0.09</v>
      </c>
      <c r="H82" s="78">
        <f>SUM(H81*G82)</f>
        <v>360</v>
      </c>
    </row>
    <row r="83" spans="2:8">
      <c r="B83" s="83" t="s">
        <v>47</v>
      </c>
      <c r="C83" s="84"/>
      <c r="E83" s="81"/>
      <c r="F83" s="21" t="s">
        <v>48</v>
      </c>
      <c r="G83" s="82">
        <v>0.09</v>
      </c>
      <c r="H83" s="78">
        <f>SUM(H81*G83)</f>
        <v>360</v>
      </c>
    </row>
    <row r="84" spans="2:8">
      <c r="B84" s="83" t="s">
        <v>49</v>
      </c>
      <c r="C84" s="84"/>
      <c r="E84" s="81"/>
      <c r="F84" s="21" t="s">
        <v>50</v>
      </c>
      <c r="G84" s="82">
        <v>0.18</v>
      </c>
      <c r="H84" s="85" t="s">
        <v>51</v>
      </c>
    </row>
    <row r="85" spans="2:8">
      <c r="B85" s="83" t="s">
        <v>52</v>
      </c>
      <c r="C85" s="84"/>
      <c r="E85" s="81"/>
      <c r="F85" s="86" t="s">
        <v>53</v>
      </c>
      <c r="G85" s="87"/>
      <c r="H85" s="78">
        <f>SUM(H82:H84)</f>
        <v>720</v>
      </c>
    </row>
    <row r="86" spans="2:8">
      <c r="B86" s="83" t="s">
        <v>54</v>
      </c>
      <c r="C86" s="84"/>
      <c r="E86" s="81"/>
      <c r="F86" s="88" t="s">
        <v>55</v>
      </c>
      <c r="G86" s="88"/>
      <c r="H86" s="89">
        <f>SUM(H81+H85+H88)</f>
        <v>4720</v>
      </c>
    </row>
    <row r="87" spans="2:8">
      <c r="B87" s="90"/>
      <c r="C87" s="91"/>
      <c r="D87" s="91"/>
      <c r="E87" s="92"/>
      <c r="F87" s="93" t="s">
        <v>56</v>
      </c>
      <c r="G87" s="93"/>
      <c r="H87" s="74"/>
    </row>
    <row r="88" customHeight="1" spans="2:8">
      <c r="B88" s="138" t="s">
        <v>184</v>
      </c>
      <c r="C88" s="139"/>
      <c r="D88" s="139"/>
      <c r="E88" s="140"/>
      <c r="F88" s="86" t="s">
        <v>58</v>
      </c>
      <c r="G88" s="87"/>
      <c r="H88" s="74"/>
    </row>
    <row r="89" ht="15.75" spans="2:8">
      <c r="B89" s="141"/>
      <c r="C89" s="142"/>
      <c r="D89" s="142"/>
      <c r="E89" s="143"/>
      <c r="F89" s="144"/>
      <c r="G89" s="145"/>
      <c r="H89" s="40"/>
    </row>
    <row r="90" spans="2:8">
      <c r="B90" s="100" t="s">
        <v>59</v>
      </c>
      <c r="C90" s="101"/>
      <c r="D90" s="101"/>
      <c r="E90" s="102" t="s">
        <v>60</v>
      </c>
      <c r="F90" s="102"/>
      <c r="G90" s="102"/>
      <c r="H90" s="103"/>
    </row>
    <row r="91" ht="18.75" spans="2:8">
      <c r="B91" s="104" t="s">
        <v>61</v>
      </c>
      <c r="E91" s="105" t="s">
        <v>62</v>
      </c>
      <c r="F91" s="105"/>
      <c r="G91" s="105"/>
      <c r="H91" s="106"/>
    </row>
    <row r="92" ht="18.75" spans="2:8">
      <c r="B92" s="108" t="s">
        <v>160</v>
      </c>
      <c r="C92" s="109"/>
      <c r="D92" s="110"/>
      <c r="E92" s="110"/>
      <c r="F92" s="111"/>
      <c r="G92" s="111"/>
      <c r="H92" s="42"/>
    </row>
    <row r="93" spans="2:8">
      <c r="B93" s="112" t="s">
        <v>64</v>
      </c>
      <c r="C93" s="113"/>
      <c r="D93" s="113"/>
      <c r="E93" s="113"/>
      <c r="F93" s="114"/>
      <c r="G93" s="111"/>
      <c r="H93" s="42"/>
    </row>
    <row r="94" spans="2:8">
      <c r="B94" s="112" t="s">
        <v>65</v>
      </c>
      <c r="C94" s="113"/>
      <c r="D94" s="113"/>
      <c r="E94" s="113"/>
      <c r="F94" s="114"/>
      <c r="G94" s="111"/>
      <c r="H94" s="42"/>
    </row>
    <row r="95" ht="15.75" customHeight="1" spans="2:8">
      <c r="B95" s="41"/>
      <c r="F95" s="111"/>
      <c r="G95" s="111"/>
      <c r="H95" s="42"/>
    </row>
    <row r="96" ht="15.75" spans="2:8">
      <c r="B96" s="115" t="s">
        <v>66</v>
      </c>
      <c r="C96" s="116"/>
      <c r="D96" s="116"/>
      <c r="E96" s="116"/>
      <c r="F96" s="116"/>
      <c r="G96" s="116"/>
      <c r="H96" s="117" t="s">
        <v>67</v>
      </c>
    </row>
    <row r="97" ht="18.75" customHeight="1" spans="2:8">
      <c r="B97" s="1" t="s">
        <v>69</v>
      </c>
      <c r="C97" s="1"/>
      <c r="D97" s="1"/>
      <c r="E97" s="1"/>
      <c r="F97" s="1"/>
      <c r="G97" s="1"/>
      <c r="H97" s="1"/>
    </row>
    <row r="98" ht="21" spans="2:8">
      <c r="B98" s="2" t="s">
        <v>1</v>
      </c>
      <c r="C98" s="3"/>
      <c r="D98" s="3"/>
      <c r="E98" s="3"/>
      <c r="F98" s="3"/>
      <c r="G98" s="3"/>
      <c r="H98" s="4"/>
    </row>
    <row r="99" ht="28.5" spans="2:8">
      <c r="B99" s="5" t="s">
        <v>2</v>
      </c>
      <c r="C99" s="6"/>
      <c r="D99" s="6"/>
      <c r="E99" s="6"/>
      <c r="F99" s="6"/>
      <c r="G99" s="6"/>
      <c r="H99" s="7"/>
    </row>
    <row r="100" spans="2:8">
      <c r="B100" s="8" t="s">
        <v>3</v>
      </c>
      <c r="C100" s="9"/>
      <c r="D100" s="9"/>
      <c r="E100" s="9"/>
      <c r="F100" s="9"/>
      <c r="G100" s="9"/>
      <c r="H100" s="10"/>
    </row>
    <row r="101" ht="21.75" spans="2:8">
      <c r="B101" s="11" t="s">
        <v>4</v>
      </c>
      <c r="C101" s="12"/>
      <c r="D101" s="12"/>
      <c r="E101" s="12"/>
      <c r="F101" s="12"/>
      <c r="G101" s="12"/>
      <c r="H101" s="13"/>
    </row>
    <row r="102" spans="2:8">
      <c r="B102" s="14" t="s">
        <v>5</v>
      </c>
      <c r="C102" s="15"/>
      <c r="D102" s="15"/>
      <c r="E102" s="15"/>
      <c r="F102" s="15"/>
      <c r="G102" s="15"/>
      <c r="H102" s="16"/>
    </row>
    <row r="103" spans="2:8">
      <c r="B103" s="17" t="s">
        <v>6</v>
      </c>
      <c r="C103" s="18"/>
      <c r="D103" s="18"/>
      <c r="E103" s="18"/>
      <c r="F103" s="18"/>
      <c r="G103" s="18"/>
      <c r="H103" s="19"/>
    </row>
    <row r="104" ht="15.75" customHeight="1" spans="2:8">
      <c r="B104" s="20" t="s">
        <v>7</v>
      </c>
      <c r="C104" s="21"/>
      <c r="D104" s="22" t="s">
        <v>8</v>
      </c>
      <c r="E104" s="23"/>
      <c r="F104" s="23"/>
      <c r="G104" s="23"/>
      <c r="H104" s="24"/>
    </row>
    <row r="105" ht="21" spans="2:8">
      <c r="B105" s="25" t="s">
        <v>9</v>
      </c>
      <c r="C105" s="21"/>
      <c r="D105" s="26" t="s">
        <v>10</v>
      </c>
      <c r="E105" s="26"/>
      <c r="F105" s="21" t="s">
        <v>179</v>
      </c>
      <c r="G105" s="31" t="s">
        <v>12</v>
      </c>
      <c r="H105" s="29">
        <v>46292</v>
      </c>
    </row>
    <row r="106" spans="2:8">
      <c r="B106" s="20" t="s">
        <v>13</v>
      </c>
      <c r="C106" s="21"/>
      <c r="D106" s="26" t="s">
        <v>14</v>
      </c>
      <c r="E106" s="26"/>
      <c r="F106" s="21" t="s">
        <v>179</v>
      </c>
      <c r="G106" s="31" t="s">
        <v>12</v>
      </c>
      <c r="H106" s="29">
        <v>46292</v>
      </c>
    </row>
    <row r="107" spans="2:8">
      <c r="B107" s="20" t="s">
        <v>15</v>
      </c>
      <c r="C107" s="21"/>
      <c r="D107" s="26" t="s">
        <v>16</v>
      </c>
      <c r="E107" s="26"/>
      <c r="F107" s="121" t="s">
        <v>180</v>
      </c>
      <c r="G107" s="31" t="s">
        <v>12</v>
      </c>
      <c r="H107" s="29">
        <v>46285</v>
      </c>
    </row>
    <row r="108" spans="2:8">
      <c r="B108" s="20" t="s">
        <v>17</v>
      </c>
      <c r="C108" s="21"/>
      <c r="D108" s="26" t="s">
        <v>152</v>
      </c>
      <c r="E108" s="26"/>
      <c r="F108" s="122" t="s">
        <v>181</v>
      </c>
      <c r="G108" s="31" t="s">
        <v>12</v>
      </c>
      <c r="H108" s="29">
        <v>46292</v>
      </c>
    </row>
    <row r="109" spans="2:8">
      <c r="B109" s="20" t="s">
        <v>20</v>
      </c>
      <c r="C109" s="21"/>
      <c r="D109" s="26" t="s">
        <v>21</v>
      </c>
      <c r="E109" s="26"/>
      <c r="F109" s="21" t="s">
        <v>154</v>
      </c>
      <c r="G109" s="123" t="s">
        <v>12</v>
      </c>
      <c r="H109" s="124"/>
    </row>
    <row r="110" spans="2:8">
      <c r="B110" s="35" t="s">
        <v>22</v>
      </c>
      <c r="C110" s="26"/>
      <c r="D110" s="26" t="s">
        <v>23</v>
      </c>
      <c r="E110" s="26"/>
      <c r="F110" s="21" t="s">
        <v>24</v>
      </c>
      <c r="G110" s="28" t="s">
        <v>25</v>
      </c>
      <c r="H110" s="36"/>
    </row>
    <row r="111" ht="15.75" spans="2:8">
      <c r="B111" s="37" t="s">
        <v>26</v>
      </c>
      <c r="C111" s="38"/>
      <c r="D111" s="38" t="s">
        <v>27</v>
      </c>
      <c r="E111" s="38"/>
      <c r="F111" s="38" t="s">
        <v>28</v>
      </c>
      <c r="G111" s="39" t="s">
        <v>29</v>
      </c>
      <c r="H111" s="40"/>
    </row>
    <row r="112" ht="3.75" customHeight="1"/>
    <row r="113" ht="30.75" spans="2:8">
      <c r="B113" s="125" t="s">
        <v>30</v>
      </c>
      <c r="C113" s="126" t="s">
        <v>31</v>
      </c>
      <c r="D113" s="45" t="s">
        <v>32</v>
      </c>
      <c r="E113" s="44" t="s">
        <v>33</v>
      </c>
      <c r="F113" s="44" t="s">
        <v>34</v>
      </c>
      <c r="G113" s="44" t="s">
        <v>35</v>
      </c>
      <c r="H113" s="46" t="s">
        <v>36</v>
      </c>
    </row>
    <row r="114" customHeight="1" spans="2:8">
      <c r="B114" s="127">
        <v>1</v>
      </c>
      <c r="C114" s="48" t="s">
        <v>182</v>
      </c>
      <c r="D114" s="128">
        <v>84663020</v>
      </c>
      <c r="E114" s="129" t="s">
        <v>39</v>
      </c>
      <c r="F114" s="130">
        <v>1</v>
      </c>
      <c r="G114" s="131">
        <v>4000</v>
      </c>
      <c r="H114" s="132">
        <f>SUM(F114*G114)</f>
        <v>4000</v>
      </c>
    </row>
    <row r="115" spans="2:8">
      <c r="B115" s="62"/>
      <c r="C115" s="55" t="s">
        <v>183</v>
      </c>
      <c r="D115" s="128"/>
      <c r="E115" s="129"/>
      <c r="F115" s="130"/>
      <c r="G115" s="131"/>
      <c r="H115" s="132"/>
    </row>
    <row r="116" spans="2:8">
      <c r="B116" s="127"/>
      <c r="C116" s="133"/>
      <c r="D116" s="128"/>
      <c r="E116" s="129"/>
      <c r="F116" s="130"/>
      <c r="G116" s="131"/>
      <c r="H116" s="132"/>
    </row>
    <row r="117" customHeight="1" spans="2:8">
      <c r="B117" s="62"/>
      <c r="C117" s="134"/>
      <c r="D117" s="128"/>
      <c r="E117" s="129"/>
      <c r="F117" s="130"/>
      <c r="G117" s="131"/>
      <c r="H117" s="132"/>
    </row>
    <row r="118" spans="2:8">
      <c r="B118" s="62"/>
      <c r="C118" s="134"/>
      <c r="D118" s="128"/>
      <c r="E118" s="129"/>
      <c r="F118" s="130"/>
      <c r="G118" s="131"/>
      <c r="H118" s="132"/>
    </row>
    <row r="119" spans="2:8">
      <c r="B119" s="127"/>
      <c r="C119" s="134"/>
      <c r="D119" s="128"/>
      <c r="E119" s="129"/>
      <c r="F119" s="130"/>
      <c r="G119" s="135"/>
      <c r="H119" s="132"/>
    </row>
    <row r="120" spans="2:8">
      <c r="B120" s="62"/>
      <c r="C120" s="134"/>
      <c r="D120" s="128"/>
      <c r="E120" s="129"/>
      <c r="F120" s="130"/>
      <c r="G120" s="131"/>
      <c r="H120" s="132"/>
    </row>
    <row r="121" spans="2:8">
      <c r="B121" s="62"/>
      <c r="C121" s="134"/>
      <c r="D121" s="128"/>
      <c r="E121" s="129"/>
      <c r="F121" s="130"/>
      <c r="G121" s="70"/>
      <c r="H121" s="132"/>
    </row>
    <row r="122" spans="2:8">
      <c r="B122" s="62"/>
      <c r="C122" s="134"/>
      <c r="D122" s="128"/>
      <c r="E122" s="129"/>
      <c r="F122" s="130"/>
      <c r="G122" s="131"/>
      <c r="H122" s="132"/>
    </row>
    <row r="123" spans="2:8">
      <c r="B123" s="62"/>
      <c r="C123" s="121"/>
      <c r="D123" s="128"/>
      <c r="E123" s="129"/>
      <c r="F123" s="130"/>
      <c r="G123" s="70"/>
      <c r="H123" s="132"/>
    </row>
    <row r="124" spans="2:8">
      <c r="B124" s="62"/>
      <c r="C124" s="121"/>
      <c r="D124" s="27"/>
      <c r="E124" s="27"/>
      <c r="F124" s="66"/>
      <c r="G124" s="70"/>
      <c r="H124" s="132"/>
    </row>
    <row r="125" spans="2:8">
      <c r="B125" s="62"/>
      <c r="C125" s="121"/>
      <c r="D125" s="128"/>
      <c r="E125" s="129"/>
      <c r="F125" s="130"/>
      <c r="G125" s="21"/>
      <c r="H125" s="74"/>
    </row>
    <row r="126" spans="2:8">
      <c r="B126" s="54"/>
      <c r="C126" s="121"/>
      <c r="D126" s="128"/>
      <c r="E126" s="129"/>
      <c r="F126" s="130"/>
      <c r="G126" s="70"/>
      <c r="H126" s="132"/>
    </row>
    <row r="127" spans="2:8">
      <c r="B127" s="20"/>
      <c r="C127" s="121"/>
      <c r="D127" s="21"/>
      <c r="E127" s="21"/>
      <c r="F127" s="66"/>
      <c r="G127" s="21"/>
      <c r="H127" s="74"/>
    </row>
    <row r="128" ht="21" spans="2:8">
      <c r="B128" s="136" t="s">
        <v>158</v>
      </c>
      <c r="C128" s="137"/>
      <c r="D128" s="66" t="s">
        <v>43</v>
      </c>
      <c r="E128" s="73"/>
      <c r="F128" s="27">
        <f>SUM(F114:F127)</f>
        <v>1</v>
      </c>
      <c r="G128" s="21"/>
      <c r="H128" s="74"/>
    </row>
    <row r="129" spans="2:8">
      <c r="B129" s="75"/>
      <c r="C129" s="76"/>
      <c r="D129" s="76"/>
      <c r="E129" s="77"/>
      <c r="F129" s="26" t="s">
        <v>44</v>
      </c>
      <c r="G129" s="26"/>
      <c r="H129" s="78">
        <f>SUM(H114:H128)</f>
        <v>4000</v>
      </c>
    </row>
    <row r="130" spans="2:8">
      <c r="B130" s="79" t="s">
        <v>45</v>
      </c>
      <c r="C130" s="80"/>
      <c r="E130" s="81"/>
      <c r="F130" s="21" t="s">
        <v>46</v>
      </c>
      <c r="G130" s="82">
        <v>0.09</v>
      </c>
      <c r="H130" s="78">
        <f>SUM(H129*G130)</f>
        <v>360</v>
      </c>
    </row>
    <row r="131" spans="2:8">
      <c r="B131" s="83" t="s">
        <v>47</v>
      </c>
      <c r="C131" s="84"/>
      <c r="E131" s="81"/>
      <c r="F131" s="21" t="s">
        <v>48</v>
      </c>
      <c r="G131" s="82">
        <v>0.09</v>
      </c>
      <c r="H131" s="78">
        <f>SUM(H129*G131)</f>
        <v>360</v>
      </c>
    </row>
    <row r="132" spans="2:8">
      <c r="B132" s="83" t="s">
        <v>49</v>
      </c>
      <c r="C132" s="84"/>
      <c r="E132" s="81"/>
      <c r="F132" s="21" t="s">
        <v>50</v>
      </c>
      <c r="G132" s="82">
        <v>0.18</v>
      </c>
      <c r="H132" s="85" t="s">
        <v>51</v>
      </c>
    </row>
    <row r="133" spans="2:8">
      <c r="B133" s="83" t="s">
        <v>52</v>
      </c>
      <c r="C133" s="84"/>
      <c r="E133" s="81"/>
      <c r="F133" s="86" t="s">
        <v>53</v>
      </c>
      <c r="G133" s="87"/>
      <c r="H133" s="78">
        <f>SUM(H130:H132)</f>
        <v>720</v>
      </c>
    </row>
    <row r="134" spans="2:8">
      <c r="B134" s="83" t="s">
        <v>54</v>
      </c>
      <c r="C134" s="84"/>
      <c r="E134" s="81"/>
      <c r="F134" s="88" t="s">
        <v>55</v>
      </c>
      <c r="G134" s="88"/>
      <c r="H134" s="89">
        <f>SUM(H129+H133+H136)</f>
        <v>4720</v>
      </c>
    </row>
    <row r="135" spans="2:8">
      <c r="B135" s="90"/>
      <c r="C135" s="91"/>
      <c r="D135" s="91"/>
      <c r="E135" s="92"/>
      <c r="F135" s="93" t="s">
        <v>56</v>
      </c>
      <c r="G135" s="93"/>
      <c r="H135" s="74"/>
    </row>
    <row r="136" customHeight="1" spans="2:8">
      <c r="B136" s="138" t="s">
        <v>184</v>
      </c>
      <c r="C136" s="139"/>
      <c r="D136" s="139"/>
      <c r="E136" s="140"/>
      <c r="F136" s="86" t="s">
        <v>58</v>
      </c>
      <c r="G136" s="87"/>
      <c r="H136" s="74"/>
    </row>
    <row r="137" ht="15.75" spans="2:8">
      <c r="B137" s="141"/>
      <c r="C137" s="142"/>
      <c r="D137" s="142"/>
      <c r="E137" s="143"/>
      <c r="F137" s="144"/>
      <c r="G137" s="145"/>
      <c r="H137" s="40"/>
    </row>
    <row r="138" spans="2:8">
      <c r="B138" s="100" t="s">
        <v>59</v>
      </c>
      <c r="C138" s="101"/>
      <c r="D138" s="101"/>
      <c r="E138" s="102" t="s">
        <v>60</v>
      </c>
      <c r="F138" s="102"/>
      <c r="G138" s="102"/>
      <c r="H138" s="103"/>
    </row>
    <row r="139" ht="18.75" spans="2:8">
      <c r="B139" s="104" t="s">
        <v>61</v>
      </c>
      <c r="E139" s="105" t="s">
        <v>62</v>
      </c>
      <c r="F139" s="105"/>
      <c r="G139" s="105"/>
      <c r="H139" s="106"/>
    </row>
    <row r="140" ht="18.75" spans="2:8">
      <c r="B140" s="108" t="s">
        <v>160</v>
      </c>
      <c r="C140" s="109"/>
      <c r="D140" s="110"/>
      <c r="E140" s="110"/>
      <c r="F140" s="111"/>
      <c r="G140" s="111"/>
      <c r="H140" s="42"/>
    </row>
    <row r="141" spans="2:8">
      <c r="B141" s="112" t="s">
        <v>64</v>
      </c>
      <c r="C141" s="113"/>
      <c r="D141" s="113"/>
      <c r="E141" s="113"/>
      <c r="F141" s="114"/>
      <c r="G141" s="111"/>
      <c r="H141" s="42"/>
    </row>
    <row r="142" spans="2:8">
      <c r="B142" s="112" t="s">
        <v>65</v>
      </c>
      <c r="C142" s="113"/>
      <c r="D142" s="113"/>
      <c r="E142" s="113"/>
      <c r="F142" s="114"/>
      <c r="G142" s="111"/>
      <c r="H142" s="42"/>
    </row>
    <row r="143" spans="2:8">
      <c r="B143" s="41"/>
      <c r="F143" s="111"/>
      <c r="G143" s="111"/>
      <c r="H143" s="42"/>
    </row>
    <row r="144" ht="15.75" spans="2:8">
      <c r="B144" s="115" t="s">
        <v>66</v>
      </c>
      <c r="C144" s="116"/>
      <c r="D144" s="116"/>
      <c r="E144" s="116"/>
      <c r="F144" s="116"/>
      <c r="G144" s="116"/>
      <c r="H144" s="117" t="s">
        <v>67</v>
      </c>
    </row>
  </sheetData>
  <mergeCells count="51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2:C32"/>
    <mergeCell ref="D32:E32"/>
    <mergeCell ref="F37:G37"/>
    <mergeCell ref="F40:G40"/>
    <mergeCell ref="F41:G41"/>
    <mergeCell ref="E42:H42"/>
    <mergeCell ref="E43:H43"/>
    <mergeCell ref="B49:H49"/>
    <mergeCell ref="B50:H50"/>
    <mergeCell ref="B51:H51"/>
    <mergeCell ref="B52:H52"/>
    <mergeCell ref="B53:H53"/>
    <mergeCell ref="B54:H54"/>
    <mergeCell ref="B55:H55"/>
    <mergeCell ref="D56:H56"/>
    <mergeCell ref="G62:H62"/>
    <mergeCell ref="B80:C80"/>
    <mergeCell ref="D80:E80"/>
    <mergeCell ref="F85:G85"/>
    <mergeCell ref="F88:G88"/>
    <mergeCell ref="F89:G89"/>
    <mergeCell ref="E90:H90"/>
    <mergeCell ref="E91:H91"/>
    <mergeCell ref="B97:H97"/>
    <mergeCell ref="B98:H98"/>
    <mergeCell ref="B99:H99"/>
    <mergeCell ref="B100:H100"/>
    <mergeCell ref="B101:H101"/>
    <mergeCell ref="B102:H102"/>
    <mergeCell ref="B103:H103"/>
    <mergeCell ref="D104:H104"/>
    <mergeCell ref="G110:H110"/>
    <mergeCell ref="B128:C128"/>
    <mergeCell ref="D128:E128"/>
    <mergeCell ref="F133:G133"/>
    <mergeCell ref="F136:G136"/>
    <mergeCell ref="F137:G137"/>
    <mergeCell ref="E138:H138"/>
    <mergeCell ref="E139:H139"/>
    <mergeCell ref="B136:E137"/>
    <mergeCell ref="B88:E89"/>
    <mergeCell ref="B40:E41"/>
  </mergeCells>
  <pageMargins left="0.17" right="0.17" top="0.3" bottom="0.88" header="0.17" footer="0.3"/>
  <pageSetup paperSize="9" orientation="portrait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44"/>
  <sheetViews>
    <sheetView workbookViewId="0">
      <selection activeCell="N17" sqref="N17"/>
    </sheetView>
  </sheetViews>
  <sheetFormatPr defaultColWidth="9" defaultRowHeight="15"/>
  <cols>
    <col min="1" max="1" width="1" customWidth="1"/>
    <col min="2" max="2" width="4.43809523809524" customWidth="1"/>
    <col min="3" max="3" width="41" customWidth="1"/>
    <col min="4" max="4" width="9.66666666666667" customWidth="1"/>
    <col min="5" max="5" width="7.43809523809524" customWidth="1"/>
    <col min="6" max="6" width="16.3333333333333" customWidth="1"/>
    <col min="7" max="7" width="10.4380952380952" customWidth="1"/>
    <col min="8" max="8" width="10.552380952381" customWidth="1"/>
    <col min="9" max="9" width="0.666666666666667" customWidth="1"/>
  </cols>
  <sheetData>
    <row r="1" ht="15.75" spans="2:15">
      <c r="B1" s="1" t="s">
        <v>0</v>
      </c>
      <c r="C1" s="1"/>
      <c r="D1" s="1"/>
      <c r="E1" s="1"/>
      <c r="F1" s="1"/>
      <c r="G1" s="1"/>
      <c r="H1" s="1"/>
    </row>
    <row r="2" ht="21" spans="2:15">
      <c r="B2" s="2" t="s">
        <v>1</v>
      </c>
      <c r="C2" s="3"/>
      <c r="D2" s="3"/>
      <c r="E2" s="3"/>
      <c r="F2" s="3"/>
      <c r="G2" s="3"/>
      <c r="H2" s="4"/>
    </row>
    <row r="3" ht="28.5" spans="2:15">
      <c r="B3" s="5" t="s">
        <v>2</v>
      </c>
      <c r="C3" s="6"/>
      <c r="D3" s="6"/>
      <c r="E3" s="6"/>
      <c r="F3" s="6"/>
      <c r="G3" s="6"/>
      <c r="H3" s="7"/>
    </row>
    <row r="4" spans="2:15">
      <c r="B4" s="8" t="s">
        <v>3</v>
      </c>
      <c r="C4" s="9"/>
      <c r="D4" s="9"/>
      <c r="E4" s="9"/>
      <c r="F4" s="9"/>
      <c r="G4" s="9"/>
      <c r="H4" s="10"/>
    </row>
    <row r="5" ht="21.75" spans="2:15">
      <c r="B5" s="11" t="s">
        <v>4</v>
      </c>
      <c r="C5" s="12"/>
      <c r="D5" s="12"/>
      <c r="E5" s="12"/>
      <c r="F5" s="12"/>
      <c r="G5" s="12"/>
      <c r="H5" s="13"/>
    </row>
    <row r="6" spans="2:15">
      <c r="B6" s="14" t="s">
        <v>5</v>
      </c>
      <c r="C6" s="15"/>
      <c r="D6" s="15"/>
      <c r="E6" s="15"/>
      <c r="F6" s="15"/>
      <c r="G6" s="15"/>
      <c r="H6" s="16"/>
    </row>
    <row r="7" spans="2:15">
      <c r="B7" s="17" t="s">
        <v>6</v>
      </c>
      <c r="C7" s="18"/>
      <c r="D7" s="18"/>
      <c r="E7" s="18"/>
      <c r="F7" s="18"/>
      <c r="G7" s="18"/>
      <c r="H7" s="19"/>
    </row>
    <row r="8" ht="15.75" customHeight="1" spans="2:15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15">
      <c r="B9" s="25" t="s">
        <v>9</v>
      </c>
      <c r="C9" s="21"/>
      <c r="D9" s="26" t="s">
        <v>10</v>
      </c>
      <c r="E9" s="26"/>
      <c r="F9" s="21" t="s">
        <v>185</v>
      </c>
      <c r="G9" s="31" t="s">
        <v>12</v>
      </c>
      <c r="H9" s="29">
        <v>46293</v>
      </c>
      <c r="O9" t="s">
        <v>37</v>
      </c>
    </row>
    <row r="10" spans="2:15">
      <c r="B10" s="20" t="s">
        <v>13</v>
      </c>
      <c r="C10" s="21"/>
      <c r="D10" s="26" t="s">
        <v>14</v>
      </c>
      <c r="E10" s="26"/>
      <c r="F10" s="21" t="s">
        <v>185</v>
      </c>
      <c r="G10" s="31" t="s">
        <v>12</v>
      </c>
      <c r="H10" s="29">
        <v>46293</v>
      </c>
    </row>
    <row r="11" spans="2:15">
      <c r="B11" s="20" t="s">
        <v>15</v>
      </c>
      <c r="C11" s="21"/>
      <c r="D11" s="26" t="s">
        <v>16</v>
      </c>
      <c r="E11" s="26"/>
      <c r="F11" s="121" t="s">
        <v>186</v>
      </c>
      <c r="G11" s="31" t="s">
        <v>12</v>
      </c>
      <c r="H11" s="29">
        <v>46286</v>
      </c>
    </row>
    <row r="12" spans="2:15">
      <c r="B12" s="20" t="s">
        <v>17</v>
      </c>
      <c r="C12" s="21"/>
      <c r="D12" s="26" t="s">
        <v>152</v>
      </c>
      <c r="E12" s="26"/>
      <c r="F12" s="122" t="s">
        <v>187</v>
      </c>
      <c r="G12" s="31" t="s">
        <v>12</v>
      </c>
      <c r="H12" s="29">
        <v>46292</v>
      </c>
    </row>
    <row r="13" spans="2:15">
      <c r="B13" s="20" t="s">
        <v>20</v>
      </c>
      <c r="C13" s="21"/>
      <c r="D13" s="26" t="s">
        <v>21</v>
      </c>
      <c r="E13" s="26"/>
      <c r="F13" s="21" t="s">
        <v>154</v>
      </c>
      <c r="G13" s="123" t="s">
        <v>12</v>
      </c>
      <c r="H13" s="124"/>
    </row>
    <row r="14" spans="2:15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15">
      <c r="B15" s="37" t="s">
        <v>26</v>
      </c>
      <c r="C15" s="38"/>
      <c r="D15" s="38" t="s">
        <v>27</v>
      </c>
      <c r="E15" s="38"/>
      <c r="F15" s="38" t="s">
        <v>28</v>
      </c>
      <c r="G15" s="39" t="s">
        <v>106</v>
      </c>
      <c r="H15" s="40"/>
      <c r="L15" t="s">
        <v>37</v>
      </c>
    </row>
    <row r="16" ht="3.75" customHeight="1"/>
    <row r="17" ht="30.75" spans="2:16">
      <c r="B17" s="125" t="s">
        <v>30</v>
      </c>
      <c r="C17" s="126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P17" t="s">
        <v>155</v>
      </c>
    </row>
    <row r="18" customHeight="1" spans="2:16">
      <c r="B18" s="127">
        <v>1</v>
      </c>
      <c r="C18" s="48" t="s">
        <v>188</v>
      </c>
      <c r="D18" s="128">
        <v>82073000</v>
      </c>
      <c r="E18" s="129" t="s">
        <v>39</v>
      </c>
      <c r="F18" s="130">
        <v>1</v>
      </c>
      <c r="G18" s="131">
        <v>7500</v>
      </c>
      <c r="H18" s="132">
        <f>SUM(F18*G18)</f>
        <v>7500</v>
      </c>
    </row>
    <row r="19" customHeight="1" spans="2:16">
      <c r="B19" s="62"/>
      <c r="C19" s="55" t="s">
        <v>189</v>
      </c>
      <c r="D19" s="128"/>
      <c r="E19" s="129"/>
      <c r="F19" s="130"/>
      <c r="G19" s="131"/>
      <c r="H19" s="132"/>
    </row>
    <row r="20" spans="2:16">
      <c r="B20" s="127"/>
      <c r="C20" s="133"/>
      <c r="D20" s="128"/>
      <c r="E20" s="129"/>
      <c r="F20" s="130"/>
      <c r="G20" s="131"/>
      <c r="H20" s="132"/>
    </row>
    <row r="21" spans="2:16">
      <c r="B21" s="62"/>
      <c r="C21" s="134"/>
      <c r="D21" s="128"/>
      <c r="E21" s="129"/>
      <c r="F21" s="130"/>
      <c r="G21" s="131"/>
      <c r="H21" s="132"/>
    </row>
    <row r="22" spans="2:16">
      <c r="B22" s="62"/>
      <c r="C22" s="134"/>
      <c r="D22" s="128"/>
      <c r="E22" s="129"/>
      <c r="F22" s="130"/>
      <c r="G22" s="131"/>
      <c r="H22" s="132"/>
    </row>
    <row r="23" spans="2:16">
      <c r="B23" s="127"/>
      <c r="C23" s="134"/>
      <c r="D23" s="128"/>
      <c r="E23" s="129"/>
      <c r="F23" s="130"/>
      <c r="G23" s="135"/>
      <c r="H23" s="132"/>
    </row>
    <row r="24" spans="2:16">
      <c r="B24" s="62"/>
      <c r="C24" s="134"/>
      <c r="D24" s="128"/>
      <c r="E24" s="129"/>
      <c r="F24" s="130"/>
      <c r="G24" s="131"/>
      <c r="H24" s="132"/>
    </row>
    <row r="25" spans="2:16">
      <c r="B25" s="62"/>
      <c r="C25" s="134"/>
      <c r="D25" s="128"/>
      <c r="E25" s="129"/>
      <c r="F25" s="130"/>
      <c r="G25" s="70"/>
      <c r="H25" s="132"/>
      <c r="O25" t="s">
        <v>37</v>
      </c>
    </row>
    <row r="26" spans="2:16">
      <c r="B26" s="62"/>
      <c r="C26" s="134"/>
      <c r="D26" s="128"/>
      <c r="E26" s="129"/>
      <c r="F26" s="130"/>
      <c r="G26" s="131"/>
      <c r="H26" s="132"/>
    </row>
    <row r="27" spans="2:16">
      <c r="B27" s="62"/>
      <c r="C27" s="121"/>
      <c r="D27" s="128"/>
      <c r="E27" s="129"/>
      <c r="F27" s="130"/>
      <c r="G27" s="70"/>
      <c r="H27" s="132"/>
    </row>
    <row r="28" spans="2:16">
      <c r="B28" s="62"/>
      <c r="C28" s="121"/>
      <c r="D28" s="27"/>
      <c r="E28" s="27"/>
      <c r="F28" s="66"/>
      <c r="G28" s="70"/>
      <c r="H28" s="132"/>
    </row>
    <row r="29" spans="2:16">
      <c r="B29" s="62"/>
      <c r="C29" s="121"/>
      <c r="D29" s="128"/>
      <c r="E29" s="129"/>
      <c r="F29" s="130"/>
      <c r="G29" s="21"/>
      <c r="H29" s="74"/>
    </row>
    <row r="30" spans="2:16">
      <c r="B30" s="54"/>
      <c r="C30" s="121"/>
      <c r="D30" s="128"/>
      <c r="E30" s="129"/>
      <c r="F30" s="130"/>
      <c r="G30" s="70"/>
      <c r="H30" s="132"/>
    </row>
    <row r="31" spans="2:16">
      <c r="B31" s="20"/>
      <c r="C31" s="121"/>
      <c r="D31" s="21"/>
      <c r="E31" s="21"/>
      <c r="F31" s="66"/>
      <c r="G31" s="21"/>
      <c r="H31" s="74"/>
    </row>
    <row r="32" ht="21" spans="2:16">
      <c r="B32" s="136" t="s">
        <v>158</v>
      </c>
      <c r="C32" s="137"/>
      <c r="D32" s="66" t="s">
        <v>43</v>
      </c>
      <c r="E32" s="73"/>
      <c r="F32" s="27">
        <f>SUM(F18:F31)</f>
        <v>1</v>
      </c>
      <c r="G32" s="21"/>
      <c r="H32" s="74"/>
    </row>
    <row r="33" spans="2:9">
      <c r="B33" s="75"/>
      <c r="C33" s="76"/>
      <c r="D33" s="76"/>
      <c r="E33" s="77"/>
      <c r="F33" s="26" t="s">
        <v>44</v>
      </c>
      <c r="G33" s="26"/>
      <c r="H33" s="78">
        <f>SUM(H18:H32)</f>
        <v>7500</v>
      </c>
    </row>
    <row r="34" spans="2:9">
      <c r="B34" s="79" t="s">
        <v>45</v>
      </c>
      <c r="C34" s="80"/>
      <c r="E34" s="81"/>
      <c r="F34" s="21" t="s">
        <v>46</v>
      </c>
      <c r="G34" s="82">
        <v>0.09</v>
      </c>
      <c r="H34" s="78">
        <f>SUM(H33*G34)</f>
        <v>675</v>
      </c>
    </row>
    <row r="35" spans="2:9">
      <c r="B35" s="83" t="s">
        <v>47</v>
      </c>
      <c r="C35" s="84"/>
      <c r="E35" s="81"/>
      <c r="F35" s="21" t="s">
        <v>48</v>
      </c>
      <c r="G35" s="82">
        <v>0.09</v>
      </c>
      <c r="H35" s="78">
        <f>SUM(H33*G35)</f>
        <v>675</v>
      </c>
    </row>
    <row r="36" spans="2:9">
      <c r="B36" s="83" t="s">
        <v>49</v>
      </c>
      <c r="C36" s="84"/>
      <c r="E36" s="81"/>
      <c r="F36" s="21" t="s">
        <v>50</v>
      </c>
      <c r="G36" s="82">
        <v>0.18</v>
      </c>
      <c r="H36" s="85" t="s">
        <v>51</v>
      </c>
    </row>
    <row r="37" spans="2:9">
      <c r="B37" s="83" t="s">
        <v>52</v>
      </c>
      <c r="C37" s="84"/>
      <c r="E37" s="81"/>
      <c r="F37" s="86" t="s">
        <v>53</v>
      </c>
      <c r="G37" s="87"/>
      <c r="H37" s="78">
        <f>SUM(H34:H36)</f>
        <v>1350</v>
      </c>
    </row>
    <row r="38" spans="2:9">
      <c r="B38" s="83" t="s">
        <v>54</v>
      </c>
      <c r="C38" s="84"/>
      <c r="E38" s="81"/>
      <c r="F38" s="88" t="s">
        <v>55</v>
      </c>
      <c r="G38" s="88"/>
      <c r="H38" s="89">
        <f>SUM(H33+H37+H40)</f>
        <v>8850</v>
      </c>
    </row>
    <row r="39" spans="2:9">
      <c r="B39" s="90"/>
      <c r="C39" s="91"/>
      <c r="D39" s="91"/>
      <c r="E39" s="92"/>
      <c r="F39" s="93" t="s">
        <v>56</v>
      </c>
      <c r="G39" s="93"/>
      <c r="H39" s="74"/>
    </row>
    <row r="40" ht="14.4" customHeight="1" spans="2:9">
      <c r="B40" s="138" t="s">
        <v>190</v>
      </c>
      <c r="C40" s="139"/>
      <c r="D40" s="139"/>
      <c r="E40" s="140"/>
      <c r="F40" s="86" t="s">
        <v>58</v>
      </c>
      <c r="G40" s="87"/>
      <c r="H40" s="74"/>
    </row>
    <row r="41" ht="15.75" spans="2:9">
      <c r="B41" s="141"/>
      <c r="C41" s="142"/>
      <c r="D41" s="142"/>
      <c r="E41" s="143"/>
      <c r="F41" s="144"/>
      <c r="G41" s="145"/>
      <c r="H41" s="40"/>
    </row>
    <row r="42" spans="2:9">
      <c r="B42" s="100" t="s">
        <v>59</v>
      </c>
      <c r="C42" s="101"/>
      <c r="D42" s="101"/>
      <c r="E42" s="102" t="s">
        <v>60</v>
      </c>
      <c r="F42" s="102"/>
      <c r="G42" s="102"/>
      <c r="H42" s="103"/>
      <c r="I42" s="107"/>
    </row>
    <row r="43" ht="18.75" spans="2:9">
      <c r="B43" s="104" t="s">
        <v>61</v>
      </c>
      <c r="E43" s="105" t="s">
        <v>62</v>
      </c>
      <c r="F43" s="105"/>
      <c r="G43" s="105"/>
      <c r="H43" s="106"/>
    </row>
    <row r="44" ht="18.75" spans="2:9">
      <c r="B44" s="108" t="s">
        <v>160</v>
      </c>
      <c r="C44" s="109"/>
      <c r="D44" s="110"/>
      <c r="E44" s="110"/>
      <c r="F44" s="111"/>
      <c r="G44" s="111"/>
      <c r="H44" s="42"/>
    </row>
    <row r="45" spans="2:9">
      <c r="B45" s="112" t="s">
        <v>64</v>
      </c>
      <c r="C45" s="113"/>
      <c r="D45" s="113"/>
      <c r="E45" s="113"/>
      <c r="F45" s="114"/>
      <c r="G45" s="111"/>
      <c r="H45" s="42"/>
    </row>
    <row r="46" spans="2:9">
      <c r="B46" s="112" t="s">
        <v>65</v>
      </c>
      <c r="C46" s="113"/>
      <c r="D46" s="113"/>
      <c r="E46" s="113"/>
      <c r="F46" s="114"/>
      <c r="G46" s="111"/>
      <c r="H46" s="42"/>
    </row>
    <row r="47" spans="2:9">
      <c r="B47" s="41"/>
      <c r="F47" s="111"/>
      <c r="G47" s="111"/>
      <c r="H47" s="42"/>
    </row>
    <row r="48" ht="15.75" spans="2:9">
      <c r="B48" s="115" t="s">
        <v>66</v>
      </c>
      <c r="C48" s="116"/>
      <c r="D48" s="116"/>
      <c r="E48" s="116"/>
      <c r="F48" s="116"/>
      <c r="G48" s="116"/>
      <c r="H48" s="117" t="s">
        <v>67</v>
      </c>
    </row>
    <row r="49" ht="15.75" spans="2:8">
      <c r="B49" s="1" t="s">
        <v>68</v>
      </c>
      <c r="C49" s="1"/>
      <c r="D49" s="1"/>
      <c r="E49" s="1"/>
      <c r="F49" s="1"/>
      <c r="G49" s="1"/>
      <c r="H49" s="1"/>
    </row>
    <row r="50" ht="21" spans="2:8">
      <c r="B50" s="2" t="s">
        <v>1</v>
      </c>
      <c r="C50" s="3"/>
      <c r="D50" s="3"/>
      <c r="E50" s="3"/>
      <c r="F50" s="3"/>
      <c r="G50" s="3"/>
      <c r="H50" s="4"/>
    </row>
    <row r="51" ht="28.5" spans="2:8">
      <c r="B51" s="5" t="s">
        <v>2</v>
      </c>
      <c r="C51" s="6"/>
      <c r="D51" s="6"/>
      <c r="E51" s="6"/>
      <c r="F51" s="6"/>
      <c r="G51" s="6"/>
      <c r="H51" s="7"/>
    </row>
    <row r="52" spans="2:8">
      <c r="B52" s="8" t="s">
        <v>3</v>
      </c>
      <c r="C52" s="9"/>
      <c r="D52" s="9"/>
      <c r="E52" s="9"/>
      <c r="F52" s="9"/>
      <c r="G52" s="9"/>
      <c r="H52" s="10"/>
    </row>
    <row r="53" ht="21.75" spans="2:8">
      <c r="B53" s="11" t="s">
        <v>4</v>
      </c>
      <c r="C53" s="12"/>
      <c r="D53" s="12"/>
      <c r="E53" s="12"/>
      <c r="F53" s="12"/>
      <c r="G53" s="12"/>
      <c r="H53" s="13"/>
    </row>
    <row r="54" spans="2:8">
      <c r="B54" s="14" t="s">
        <v>5</v>
      </c>
      <c r="C54" s="15"/>
      <c r="D54" s="15"/>
      <c r="E54" s="15"/>
      <c r="F54" s="15"/>
      <c r="G54" s="15"/>
      <c r="H54" s="16"/>
    </row>
    <row r="55" spans="2:8">
      <c r="B55" s="17" t="s">
        <v>6</v>
      </c>
      <c r="C55" s="18"/>
      <c r="D55" s="18"/>
      <c r="E55" s="18"/>
      <c r="F55" s="18"/>
      <c r="G55" s="18"/>
      <c r="H55" s="19"/>
    </row>
    <row r="56" ht="15.75" customHeight="1" spans="2:8">
      <c r="B56" s="20" t="s">
        <v>7</v>
      </c>
      <c r="C56" s="21"/>
      <c r="D56" s="22" t="s">
        <v>8</v>
      </c>
      <c r="E56" s="23"/>
      <c r="F56" s="23"/>
      <c r="G56" s="23"/>
      <c r="H56" s="24"/>
    </row>
    <row r="57" ht="21" spans="2:8">
      <c r="B57" s="25" t="s">
        <v>9</v>
      </c>
      <c r="C57" s="21"/>
      <c r="D57" s="26" t="s">
        <v>10</v>
      </c>
      <c r="E57" s="26"/>
      <c r="F57" s="21" t="s">
        <v>185</v>
      </c>
      <c r="G57" s="31" t="s">
        <v>12</v>
      </c>
      <c r="H57" s="29">
        <v>46293</v>
      </c>
    </row>
    <row r="58" spans="2:8">
      <c r="B58" s="20" t="s">
        <v>13</v>
      </c>
      <c r="C58" s="21"/>
      <c r="D58" s="26" t="s">
        <v>14</v>
      </c>
      <c r="E58" s="26"/>
      <c r="F58" s="21" t="s">
        <v>185</v>
      </c>
      <c r="G58" s="31" t="s">
        <v>12</v>
      </c>
      <c r="H58" s="29">
        <v>46293</v>
      </c>
    </row>
    <row r="59" spans="2:8">
      <c r="B59" s="20" t="s">
        <v>15</v>
      </c>
      <c r="C59" s="21"/>
      <c r="D59" s="26" t="s">
        <v>16</v>
      </c>
      <c r="E59" s="26"/>
      <c r="F59" s="121" t="s">
        <v>186</v>
      </c>
      <c r="G59" s="31" t="s">
        <v>12</v>
      </c>
      <c r="H59" s="29">
        <v>46286</v>
      </c>
    </row>
    <row r="60" spans="2:8">
      <c r="B60" s="20" t="s">
        <v>17</v>
      </c>
      <c r="C60" s="21"/>
      <c r="D60" s="26" t="s">
        <v>152</v>
      </c>
      <c r="E60" s="26"/>
      <c r="F60" s="122" t="s">
        <v>187</v>
      </c>
      <c r="G60" s="31" t="s">
        <v>12</v>
      </c>
      <c r="H60" s="29">
        <v>46292</v>
      </c>
    </row>
    <row r="61" spans="2:8">
      <c r="B61" s="20" t="s">
        <v>20</v>
      </c>
      <c r="C61" s="21"/>
      <c r="D61" s="26" t="s">
        <v>21</v>
      </c>
      <c r="E61" s="26"/>
      <c r="F61" s="21" t="s">
        <v>154</v>
      </c>
      <c r="G61" s="123" t="s">
        <v>12</v>
      </c>
      <c r="H61" s="124"/>
    </row>
    <row r="62" spans="2:8">
      <c r="B62" s="35" t="s">
        <v>22</v>
      </c>
      <c r="C62" s="26"/>
      <c r="D62" s="26" t="s">
        <v>23</v>
      </c>
      <c r="E62" s="26"/>
      <c r="F62" s="21" t="s">
        <v>24</v>
      </c>
      <c r="G62" s="28" t="s">
        <v>25</v>
      </c>
      <c r="H62" s="36"/>
    </row>
    <row r="63" ht="15.75" spans="2:8">
      <c r="B63" s="37" t="s">
        <v>26</v>
      </c>
      <c r="C63" s="38"/>
      <c r="D63" s="38" t="s">
        <v>27</v>
      </c>
      <c r="E63" s="38"/>
      <c r="F63" s="38" t="s">
        <v>28</v>
      </c>
      <c r="G63" s="39" t="s">
        <v>106</v>
      </c>
      <c r="H63" s="40"/>
    </row>
    <row r="64" ht="4.5" customHeight="1"/>
    <row r="65" ht="30.75" spans="2:8">
      <c r="B65" s="125" t="s">
        <v>30</v>
      </c>
      <c r="C65" s="126" t="s">
        <v>31</v>
      </c>
      <c r="D65" s="45" t="s">
        <v>32</v>
      </c>
      <c r="E65" s="44" t="s">
        <v>33</v>
      </c>
      <c r="F65" s="44" t="s">
        <v>34</v>
      </c>
      <c r="G65" s="44" t="s">
        <v>35</v>
      </c>
      <c r="H65" s="46" t="s">
        <v>36</v>
      </c>
    </row>
    <row r="66" customHeight="1" spans="2:8">
      <c r="B66" s="127">
        <v>1</v>
      </c>
      <c r="C66" s="48" t="s">
        <v>188</v>
      </c>
      <c r="D66" s="128">
        <v>82073000</v>
      </c>
      <c r="E66" s="129" t="s">
        <v>39</v>
      </c>
      <c r="F66" s="130">
        <v>1</v>
      </c>
      <c r="G66" s="131">
        <v>7500</v>
      </c>
      <c r="H66" s="132">
        <f>SUM(F66*G66)</f>
        <v>7500</v>
      </c>
    </row>
    <row r="67" spans="2:8">
      <c r="B67" s="62"/>
      <c r="C67" s="55" t="s">
        <v>189</v>
      </c>
      <c r="D67" s="128"/>
      <c r="E67" s="129"/>
      <c r="F67" s="130"/>
      <c r="G67" s="131"/>
      <c r="H67" s="132"/>
    </row>
    <row r="68" spans="2:8">
      <c r="B68" s="127"/>
      <c r="C68" s="133"/>
      <c r="D68" s="128"/>
      <c r="E68" s="129"/>
      <c r="F68" s="130"/>
      <c r="G68" s="131"/>
      <c r="H68" s="132"/>
    </row>
    <row r="69" spans="2:8">
      <c r="B69" s="62"/>
      <c r="C69" s="134"/>
      <c r="D69" s="128"/>
      <c r="E69" s="129"/>
      <c r="F69" s="130"/>
      <c r="G69" s="131"/>
      <c r="H69" s="132"/>
    </row>
    <row r="70" spans="2:8">
      <c r="B70" s="62"/>
      <c r="C70" s="134"/>
      <c r="D70" s="128"/>
      <c r="E70" s="129"/>
      <c r="F70" s="130"/>
      <c r="G70" s="131"/>
      <c r="H70" s="132"/>
    </row>
    <row r="71" spans="2:8">
      <c r="B71" s="127"/>
      <c r="C71" s="134"/>
      <c r="D71" s="128"/>
      <c r="E71" s="129"/>
      <c r="F71" s="130"/>
      <c r="G71" s="135"/>
      <c r="H71" s="132"/>
    </row>
    <row r="72" spans="2:8">
      <c r="B72" s="62"/>
      <c r="C72" s="134"/>
      <c r="D72" s="128"/>
      <c r="E72" s="129"/>
      <c r="F72" s="130"/>
      <c r="G72" s="131"/>
      <c r="H72" s="132"/>
    </row>
    <row r="73" spans="2:8">
      <c r="B73" s="62"/>
      <c r="C73" s="134"/>
      <c r="D73" s="128"/>
      <c r="E73" s="129"/>
      <c r="F73" s="130"/>
      <c r="G73" s="70"/>
      <c r="H73" s="132"/>
    </row>
    <row r="74" spans="2:8">
      <c r="B74" s="62"/>
      <c r="C74" s="134"/>
      <c r="D74" s="128"/>
      <c r="E74" s="129"/>
      <c r="F74" s="130"/>
      <c r="G74" s="131"/>
      <c r="H74" s="132"/>
    </row>
    <row r="75" spans="2:8">
      <c r="B75" s="62"/>
      <c r="C75" s="121"/>
      <c r="D75" s="128"/>
      <c r="E75" s="129"/>
      <c r="F75" s="130"/>
      <c r="G75" s="70"/>
      <c r="H75" s="132"/>
    </row>
    <row r="76" spans="2:8">
      <c r="B76" s="62"/>
      <c r="C76" s="121"/>
      <c r="D76" s="27"/>
      <c r="E76" s="27"/>
      <c r="F76" s="66"/>
      <c r="G76" s="70"/>
      <c r="H76" s="132"/>
    </row>
    <row r="77" spans="2:8">
      <c r="B77" s="62"/>
      <c r="C77" s="121"/>
      <c r="D77" s="128"/>
      <c r="E77" s="129"/>
      <c r="F77" s="130"/>
      <c r="G77" s="21"/>
      <c r="H77" s="74"/>
    </row>
    <row r="78" spans="2:8">
      <c r="B78" s="54"/>
      <c r="C78" s="121"/>
      <c r="D78" s="128"/>
      <c r="E78" s="129"/>
      <c r="F78" s="130"/>
      <c r="G78" s="70"/>
      <c r="H78" s="132"/>
    </row>
    <row r="79" spans="2:8">
      <c r="B79" s="20"/>
      <c r="C79" s="121"/>
      <c r="D79" s="21"/>
      <c r="E79" s="21"/>
      <c r="F79" s="66"/>
      <c r="G79" s="21"/>
      <c r="H79" s="74"/>
    </row>
    <row r="80" ht="21" spans="2:8">
      <c r="B80" s="136" t="s">
        <v>158</v>
      </c>
      <c r="C80" s="137"/>
      <c r="D80" s="66" t="s">
        <v>43</v>
      </c>
      <c r="E80" s="73"/>
      <c r="F80" s="27">
        <f>SUM(F66:F79)</f>
        <v>1</v>
      </c>
      <c r="G80" s="21"/>
      <c r="H80" s="74"/>
    </row>
    <row r="81" spans="2:8">
      <c r="B81" s="75"/>
      <c r="C81" s="76"/>
      <c r="D81" s="76"/>
      <c r="E81" s="77"/>
      <c r="F81" s="26" t="s">
        <v>44</v>
      </c>
      <c r="G81" s="26"/>
      <c r="H81" s="78">
        <f>SUM(H66:H80)</f>
        <v>7500</v>
      </c>
    </row>
    <row r="82" spans="2:8">
      <c r="B82" s="79" t="s">
        <v>45</v>
      </c>
      <c r="C82" s="80"/>
      <c r="E82" s="81"/>
      <c r="F82" s="21" t="s">
        <v>46</v>
      </c>
      <c r="G82" s="82">
        <v>0.09</v>
      </c>
      <c r="H82" s="78">
        <f>SUM(H81*G82)</f>
        <v>675</v>
      </c>
    </row>
    <row r="83" spans="2:8">
      <c r="B83" s="83" t="s">
        <v>47</v>
      </c>
      <c r="C83" s="84"/>
      <c r="E83" s="81"/>
      <c r="F83" s="21" t="s">
        <v>48</v>
      </c>
      <c r="G83" s="82">
        <v>0.09</v>
      </c>
      <c r="H83" s="78">
        <f>SUM(H81*G83)</f>
        <v>675</v>
      </c>
    </row>
    <row r="84" spans="2:8">
      <c r="B84" s="83" t="s">
        <v>49</v>
      </c>
      <c r="C84" s="84"/>
      <c r="E84" s="81"/>
      <c r="F84" s="21" t="s">
        <v>50</v>
      </c>
      <c r="G84" s="82">
        <v>0.18</v>
      </c>
      <c r="H84" s="85" t="s">
        <v>51</v>
      </c>
    </row>
    <row r="85" spans="2:8">
      <c r="B85" s="83" t="s">
        <v>52</v>
      </c>
      <c r="C85" s="84"/>
      <c r="E85" s="81"/>
      <c r="F85" s="86" t="s">
        <v>53</v>
      </c>
      <c r="G85" s="87"/>
      <c r="H85" s="78">
        <f>SUM(H82:H84)</f>
        <v>1350</v>
      </c>
    </row>
    <row r="86" spans="2:8">
      <c r="B86" s="83" t="s">
        <v>54</v>
      </c>
      <c r="C86" s="84"/>
      <c r="E86" s="81"/>
      <c r="F86" s="88" t="s">
        <v>55</v>
      </c>
      <c r="G86" s="88"/>
      <c r="H86" s="89">
        <f>SUM(H81+H85+H88)</f>
        <v>8850</v>
      </c>
    </row>
    <row r="87" spans="2:8">
      <c r="B87" s="90"/>
      <c r="C87" s="91"/>
      <c r="D87" s="91"/>
      <c r="E87" s="92"/>
      <c r="F87" s="93" t="s">
        <v>56</v>
      </c>
      <c r="G87" s="93"/>
      <c r="H87" s="74"/>
    </row>
    <row r="88" customHeight="1" spans="2:8">
      <c r="B88" s="138" t="s">
        <v>190</v>
      </c>
      <c r="C88" s="139"/>
      <c r="D88" s="139"/>
      <c r="E88" s="140"/>
      <c r="F88" s="86" t="s">
        <v>58</v>
      </c>
      <c r="G88" s="87"/>
      <c r="H88" s="74"/>
    </row>
    <row r="89" ht="15.75" spans="2:8">
      <c r="B89" s="141"/>
      <c r="C89" s="142"/>
      <c r="D89" s="142"/>
      <c r="E89" s="143"/>
      <c r="F89" s="144"/>
      <c r="G89" s="145"/>
      <c r="H89" s="40"/>
    </row>
    <row r="90" spans="2:8">
      <c r="B90" s="100" t="s">
        <v>59</v>
      </c>
      <c r="C90" s="101"/>
      <c r="D90" s="101"/>
      <c r="E90" s="102" t="s">
        <v>60</v>
      </c>
      <c r="F90" s="102"/>
      <c r="G90" s="102"/>
      <c r="H90" s="103"/>
    </row>
    <row r="91" ht="18.75" spans="2:8">
      <c r="B91" s="104" t="s">
        <v>61</v>
      </c>
      <c r="E91" s="105" t="s">
        <v>62</v>
      </c>
      <c r="F91" s="105"/>
      <c r="G91" s="105"/>
      <c r="H91" s="106"/>
    </row>
    <row r="92" ht="18.75" spans="2:8">
      <c r="B92" s="108" t="s">
        <v>160</v>
      </c>
      <c r="C92" s="109"/>
      <c r="D92" s="110"/>
      <c r="E92" s="110"/>
      <c r="F92" s="111"/>
      <c r="G92" s="111"/>
      <c r="H92" s="42"/>
    </row>
    <row r="93" spans="2:8">
      <c r="B93" s="112" t="s">
        <v>64</v>
      </c>
      <c r="C93" s="113"/>
      <c r="D93" s="113"/>
      <c r="E93" s="113"/>
      <c r="F93" s="114"/>
      <c r="G93" s="111"/>
      <c r="H93" s="42"/>
    </row>
    <row r="94" spans="2:8">
      <c r="B94" s="112" t="s">
        <v>65</v>
      </c>
      <c r="C94" s="113"/>
      <c r="D94" s="113"/>
      <c r="E94" s="113"/>
      <c r="F94" s="114"/>
      <c r="G94" s="111"/>
      <c r="H94" s="42"/>
    </row>
    <row r="95" ht="15.75" customHeight="1" spans="2:8">
      <c r="B95" s="41"/>
      <c r="F95" s="111"/>
      <c r="G95" s="111"/>
      <c r="H95" s="42"/>
    </row>
    <row r="96" ht="15.75" spans="2:8">
      <c r="B96" s="115" t="s">
        <v>66</v>
      </c>
      <c r="C96" s="116"/>
      <c r="D96" s="116"/>
      <c r="E96" s="116"/>
      <c r="F96" s="116"/>
      <c r="G96" s="116"/>
      <c r="H96" s="117" t="s">
        <v>67</v>
      </c>
    </row>
    <row r="97" ht="18.75" customHeight="1" spans="2:8">
      <c r="B97" s="1" t="s">
        <v>69</v>
      </c>
      <c r="C97" s="1"/>
      <c r="D97" s="1"/>
      <c r="E97" s="1"/>
      <c r="F97" s="1"/>
      <c r="G97" s="1"/>
      <c r="H97" s="1"/>
    </row>
    <row r="98" ht="21" spans="2:8">
      <c r="B98" s="2" t="s">
        <v>1</v>
      </c>
      <c r="C98" s="3"/>
      <c r="D98" s="3"/>
      <c r="E98" s="3"/>
      <c r="F98" s="3"/>
      <c r="G98" s="3"/>
      <c r="H98" s="4"/>
    </row>
    <row r="99" ht="28.5" spans="2:8">
      <c r="B99" s="5" t="s">
        <v>2</v>
      </c>
      <c r="C99" s="6"/>
      <c r="D99" s="6"/>
      <c r="E99" s="6"/>
      <c r="F99" s="6"/>
      <c r="G99" s="6"/>
      <c r="H99" s="7"/>
    </row>
    <row r="100" spans="2:8">
      <c r="B100" s="8" t="s">
        <v>3</v>
      </c>
      <c r="C100" s="9"/>
      <c r="D100" s="9"/>
      <c r="E100" s="9"/>
      <c r="F100" s="9"/>
      <c r="G100" s="9"/>
      <c r="H100" s="10"/>
    </row>
    <row r="101" ht="21.75" spans="2:8">
      <c r="B101" s="11" t="s">
        <v>4</v>
      </c>
      <c r="C101" s="12"/>
      <c r="D101" s="12"/>
      <c r="E101" s="12"/>
      <c r="F101" s="12"/>
      <c r="G101" s="12"/>
      <c r="H101" s="13"/>
    </row>
    <row r="102" spans="2:8">
      <c r="B102" s="14" t="s">
        <v>5</v>
      </c>
      <c r="C102" s="15"/>
      <c r="D102" s="15"/>
      <c r="E102" s="15"/>
      <c r="F102" s="15"/>
      <c r="G102" s="15"/>
      <c r="H102" s="16"/>
    </row>
    <row r="103" spans="2:8">
      <c r="B103" s="17" t="s">
        <v>6</v>
      </c>
      <c r="C103" s="18"/>
      <c r="D103" s="18"/>
      <c r="E103" s="18"/>
      <c r="F103" s="18"/>
      <c r="G103" s="18"/>
      <c r="H103" s="19"/>
    </row>
    <row r="104" ht="15.75" customHeight="1" spans="2:8">
      <c r="B104" s="20" t="s">
        <v>7</v>
      </c>
      <c r="C104" s="21"/>
      <c r="D104" s="22" t="s">
        <v>8</v>
      </c>
      <c r="E104" s="23"/>
      <c r="F104" s="23"/>
      <c r="G104" s="23"/>
      <c r="H104" s="24"/>
    </row>
    <row r="105" ht="21" spans="2:8">
      <c r="B105" s="25" t="s">
        <v>9</v>
      </c>
      <c r="C105" s="21"/>
      <c r="D105" s="26" t="s">
        <v>10</v>
      </c>
      <c r="E105" s="26"/>
      <c r="F105" s="21" t="s">
        <v>185</v>
      </c>
      <c r="G105" s="31" t="s">
        <v>12</v>
      </c>
      <c r="H105" s="29">
        <v>46293</v>
      </c>
    </row>
    <row r="106" spans="2:8">
      <c r="B106" s="20" t="s">
        <v>13</v>
      </c>
      <c r="C106" s="21"/>
      <c r="D106" s="26" t="s">
        <v>14</v>
      </c>
      <c r="E106" s="26"/>
      <c r="F106" s="21" t="s">
        <v>185</v>
      </c>
      <c r="G106" s="31" t="s">
        <v>12</v>
      </c>
      <c r="H106" s="29">
        <v>46293</v>
      </c>
    </row>
    <row r="107" spans="2:8">
      <c r="B107" s="20" t="s">
        <v>15</v>
      </c>
      <c r="C107" s="21"/>
      <c r="D107" s="26" t="s">
        <v>16</v>
      </c>
      <c r="E107" s="26"/>
      <c r="F107" s="121" t="s">
        <v>186</v>
      </c>
      <c r="G107" s="31" t="s">
        <v>12</v>
      </c>
      <c r="H107" s="29">
        <v>46286</v>
      </c>
    </row>
    <row r="108" spans="2:8">
      <c r="B108" s="20" t="s">
        <v>17</v>
      </c>
      <c r="C108" s="21"/>
      <c r="D108" s="26" t="s">
        <v>152</v>
      </c>
      <c r="E108" s="26"/>
      <c r="F108" s="122" t="s">
        <v>187</v>
      </c>
      <c r="G108" s="31" t="s">
        <v>12</v>
      </c>
      <c r="H108" s="29">
        <v>46292</v>
      </c>
    </row>
    <row r="109" spans="2:8">
      <c r="B109" s="20" t="s">
        <v>20</v>
      </c>
      <c r="C109" s="21"/>
      <c r="D109" s="26" t="s">
        <v>21</v>
      </c>
      <c r="E109" s="26"/>
      <c r="F109" s="21" t="s">
        <v>154</v>
      </c>
      <c r="G109" s="123" t="s">
        <v>12</v>
      </c>
      <c r="H109" s="124"/>
    </row>
    <row r="110" spans="2:8">
      <c r="B110" s="35" t="s">
        <v>22</v>
      </c>
      <c r="C110" s="26"/>
      <c r="D110" s="26" t="s">
        <v>23</v>
      </c>
      <c r="E110" s="26"/>
      <c r="F110" s="21" t="s">
        <v>24</v>
      </c>
      <c r="G110" s="28" t="s">
        <v>25</v>
      </c>
      <c r="H110" s="36"/>
    </row>
    <row r="111" ht="15.75" spans="2:8">
      <c r="B111" s="37" t="s">
        <v>26</v>
      </c>
      <c r="C111" s="38"/>
      <c r="D111" s="38" t="s">
        <v>27</v>
      </c>
      <c r="E111" s="38"/>
      <c r="F111" s="38" t="s">
        <v>28</v>
      </c>
      <c r="G111" s="39" t="s">
        <v>106</v>
      </c>
      <c r="H111" s="40"/>
    </row>
    <row r="112" ht="3.75" customHeight="1"/>
    <row r="113" ht="30.75" spans="2:8">
      <c r="B113" s="125" t="s">
        <v>30</v>
      </c>
      <c r="C113" s="126" t="s">
        <v>31</v>
      </c>
      <c r="D113" s="45" t="s">
        <v>32</v>
      </c>
      <c r="E113" s="44" t="s">
        <v>33</v>
      </c>
      <c r="F113" s="44" t="s">
        <v>34</v>
      </c>
      <c r="G113" s="44" t="s">
        <v>35</v>
      </c>
      <c r="H113" s="46" t="s">
        <v>36</v>
      </c>
    </row>
    <row r="114" customHeight="1" spans="2:8">
      <c r="B114" s="127">
        <v>1</v>
      </c>
      <c r="C114" s="48" t="s">
        <v>188</v>
      </c>
      <c r="D114" s="128">
        <v>82073000</v>
      </c>
      <c r="E114" s="129" t="s">
        <v>39</v>
      </c>
      <c r="F114" s="130">
        <v>1</v>
      </c>
      <c r="G114" s="131">
        <v>7500</v>
      </c>
      <c r="H114" s="132">
        <f>SUM(F114*G114)</f>
        <v>7500</v>
      </c>
    </row>
    <row r="115" spans="2:8">
      <c r="B115" s="62"/>
      <c r="C115" s="55" t="s">
        <v>189</v>
      </c>
      <c r="D115" s="128"/>
      <c r="E115" s="129"/>
      <c r="F115" s="130"/>
      <c r="G115" s="131"/>
      <c r="H115" s="132"/>
    </row>
    <row r="116" spans="2:8">
      <c r="B116" s="127"/>
      <c r="C116" s="133"/>
      <c r="D116" s="128"/>
      <c r="E116" s="129"/>
      <c r="F116" s="130"/>
      <c r="G116" s="131"/>
      <c r="H116" s="132"/>
    </row>
    <row r="117" customHeight="1" spans="2:8">
      <c r="B117" s="62"/>
      <c r="C117" s="134"/>
      <c r="D117" s="128"/>
      <c r="E117" s="129"/>
      <c r="F117" s="130"/>
      <c r="G117" s="131"/>
      <c r="H117" s="132"/>
    </row>
    <row r="118" spans="2:8">
      <c r="B118" s="62"/>
      <c r="C118" s="134"/>
      <c r="D118" s="128"/>
      <c r="E118" s="129"/>
      <c r="F118" s="130"/>
      <c r="G118" s="131"/>
      <c r="H118" s="132"/>
    </row>
    <row r="119" spans="2:8">
      <c r="B119" s="127"/>
      <c r="C119" s="134"/>
      <c r="D119" s="128"/>
      <c r="E119" s="129"/>
      <c r="F119" s="130"/>
      <c r="G119" s="135"/>
      <c r="H119" s="132"/>
    </row>
    <row r="120" spans="2:8">
      <c r="B120" s="62"/>
      <c r="C120" s="134"/>
      <c r="D120" s="128"/>
      <c r="E120" s="129"/>
      <c r="F120" s="130"/>
      <c r="G120" s="131"/>
      <c r="H120" s="132"/>
    </row>
    <row r="121" spans="2:8">
      <c r="B121" s="62"/>
      <c r="C121" s="134"/>
      <c r="D121" s="128"/>
      <c r="E121" s="129"/>
      <c r="F121" s="130"/>
      <c r="G121" s="70"/>
      <c r="H121" s="132"/>
    </row>
    <row r="122" spans="2:8">
      <c r="B122" s="62"/>
      <c r="C122" s="134"/>
      <c r="D122" s="128"/>
      <c r="E122" s="129"/>
      <c r="F122" s="130"/>
      <c r="G122" s="131"/>
      <c r="H122" s="132"/>
    </row>
    <row r="123" spans="2:8">
      <c r="B123" s="62"/>
      <c r="C123" s="121"/>
      <c r="D123" s="128"/>
      <c r="E123" s="129"/>
      <c r="F123" s="130"/>
      <c r="G123" s="70"/>
      <c r="H123" s="132"/>
    </row>
    <row r="124" spans="2:8">
      <c r="B124" s="62"/>
      <c r="C124" s="121"/>
      <c r="D124" s="27"/>
      <c r="E124" s="27"/>
      <c r="F124" s="66"/>
      <c r="G124" s="70"/>
      <c r="H124" s="132"/>
    </row>
    <row r="125" spans="2:8">
      <c r="B125" s="62"/>
      <c r="C125" s="121"/>
      <c r="D125" s="128"/>
      <c r="E125" s="129"/>
      <c r="F125" s="130"/>
      <c r="G125" s="21"/>
      <c r="H125" s="74"/>
    </row>
    <row r="126" spans="2:8">
      <c r="B126" s="54"/>
      <c r="C126" s="121"/>
      <c r="D126" s="128"/>
      <c r="E126" s="129"/>
      <c r="F126" s="130"/>
      <c r="G126" s="70"/>
      <c r="H126" s="132"/>
    </row>
    <row r="127" spans="2:8">
      <c r="B127" s="20"/>
      <c r="C127" s="121"/>
      <c r="D127" s="21"/>
      <c r="E127" s="21"/>
      <c r="F127" s="66"/>
      <c r="G127" s="21"/>
      <c r="H127" s="74"/>
    </row>
    <row r="128" ht="21" spans="2:8">
      <c r="B128" s="136" t="s">
        <v>158</v>
      </c>
      <c r="C128" s="137"/>
      <c r="D128" s="66" t="s">
        <v>43</v>
      </c>
      <c r="E128" s="73"/>
      <c r="F128" s="27">
        <f>SUM(F114:F127)</f>
        <v>1</v>
      </c>
      <c r="G128" s="21"/>
      <c r="H128" s="74"/>
    </row>
    <row r="129" spans="2:8">
      <c r="B129" s="75"/>
      <c r="C129" s="76"/>
      <c r="D129" s="76"/>
      <c r="E129" s="77"/>
      <c r="F129" s="26" t="s">
        <v>44</v>
      </c>
      <c r="G129" s="26"/>
      <c r="H129" s="78">
        <f>SUM(H114:H128)</f>
        <v>7500</v>
      </c>
    </row>
    <row r="130" spans="2:8">
      <c r="B130" s="79" t="s">
        <v>45</v>
      </c>
      <c r="C130" s="80"/>
      <c r="E130" s="81"/>
      <c r="F130" s="21" t="s">
        <v>46</v>
      </c>
      <c r="G130" s="82">
        <v>0.09</v>
      </c>
      <c r="H130" s="78">
        <f>SUM(H129*G130)</f>
        <v>675</v>
      </c>
    </row>
    <row r="131" spans="2:8">
      <c r="B131" s="83" t="s">
        <v>47</v>
      </c>
      <c r="C131" s="84"/>
      <c r="E131" s="81"/>
      <c r="F131" s="21" t="s">
        <v>48</v>
      </c>
      <c r="G131" s="82">
        <v>0.09</v>
      </c>
      <c r="H131" s="78">
        <f>SUM(H129*G131)</f>
        <v>675</v>
      </c>
    </row>
    <row r="132" spans="2:8">
      <c r="B132" s="83" t="s">
        <v>49</v>
      </c>
      <c r="C132" s="84"/>
      <c r="E132" s="81"/>
      <c r="F132" s="21" t="s">
        <v>50</v>
      </c>
      <c r="G132" s="82">
        <v>0.18</v>
      </c>
      <c r="H132" s="85" t="s">
        <v>51</v>
      </c>
    </row>
    <row r="133" spans="2:8">
      <c r="B133" s="83" t="s">
        <v>52</v>
      </c>
      <c r="C133" s="84"/>
      <c r="E133" s="81"/>
      <c r="F133" s="86" t="s">
        <v>53</v>
      </c>
      <c r="G133" s="87"/>
      <c r="H133" s="78">
        <f>SUM(H130:H132)</f>
        <v>1350</v>
      </c>
    </row>
    <row r="134" spans="2:8">
      <c r="B134" s="83" t="s">
        <v>54</v>
      </c>
      <c r="C134" s="84"/>
      <c r="E134" s="81"/>
      <c r="F134" s="88" t="s">
        <v>55</v>
      </c>
      <c r="G134" s="88"/>
      <c r="H134" s="89">
        <f>SUM(H129+H133+H136)</f>
        <v>8850</v>
      </c>
    </row>
    <row r="135" spans="2:8">
      <c r="B135" s="90"/>
      <c r="C135" s="91"/>
      <c r="D135" s="91"/>
      <c r="E135" s="92"/>
      <c r="F135" s="93" t="s">
        <v>56</v>
      </c>
      <c r="G135" s="93"/>
      <c r="H135" s="74"/>
    </row>
    <row r="136" customHeight="1" spans="2:8">
      <c r="B136" s="138" t="s">
        <v>190</v>
      </c>
      <c r="C136" s="139"/>
      <c r="D136" s="139"/>
      <c r="E136" s="140"/>
      <c r="F136" s="86" t="s">
        <v>58</v>
      </c>
      <c r="G136" s="87"/>
      <c r="H136" s="74"/>
    </row>
    <row r="137" ht="15.75" spans="2:8">
      <c r="B137" s="141"/>
      <c r="C137" s="142"/>
      <c r="D137" s="142"/>
      <c r="E137" s="143"/>
      <c r="F137" s="144"/>
      <c r="G137" s="145"/>
      <c r="H137" s="40"/>
    </row>
    <row r="138" spans="2:8">
      <c r="B138" s="100" t="s">
        <v>59</v>
      </c>
      <c r="C138" s="101"/>
      <c r="D138" s="101"/>
      <c r="E138" s="102" t="s">
        <v>60</v>
      </c>
      <c r="F138" s="102"/>
      <c r="G138" s="102"/>
      <c r="H138" s="103"/>
    </row>
    <row r="139" ht="18.75" spans="2:8">
      <c r="B139" s="104" t="s">
        <v>61</v>
      </c>
      <c r="E139" s="105" t="s">
        <v>62</v>
      </c>
      <c r="F139" s="105"/>
      <c r="G139" s="105"/>
      <c r="H139" s="106"/>
    </row>
    <row r="140" ht="18.75" spans="2:8">
      <c r="B140" s="108" t="s">
        <v>160</v>
      </c>
      <c r="C140" s="109"/>
      <c r="D140" s="110"/>
      <c r="E140" s="110"/>
      <c r="F140" s="111"/>
      <c r="G140" s="111"/>
      <c r="H140" s="42"/>
    </row>
    <row r="141" spans="2:8">
      <c r="B141" s="112" t="s">
        <v>64</v>
      </c>
      <c r="C141" s="113"/>
      <c r="D141" s="113"/>
      <c r="E141" s="113"/>
      <c r="F141" s="114"/>
      <c r="G141" s="111"/>
      <c r="H141" s="42"/>
    </row>
    <row r="142" spans="2:8">
      <c r="B142" s="112" t="s">
        <v>65</v>
      </c>
      <c r="C142" s="113"/>
      <c r="D142" s="113"/>
      <c r="E142" s="113"/>
      <c r="F142" s="114"/>
      <c r="G142" s="111"/>
      <c r="H142" s="42"/>
    </row>
    <row r="143" spans="2:8">
      <c r="B143" s="41"/>
      <c r="F143" s="111"/>
      <c r="G143" s="111"/>
      <c r="H143" s="42"/>
    </row>
    <row r="144" ht="15.75" spans="2:8">
      <c r="B144" s="115" t="s">
        <v>66</v>
      </c>
      <c r="C144" s="116"/>
      <c r="D144" s="116"/>
      <c r="E144" s="116"/>
      <c r="F144" s="116"/>
      <c r="G144" s="116"/>
      <c r="H144" s="117" t="s">
        <v>67</v>
      </c>
    </row>
  </sheetData>
  <mergeCells count="51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2:C32"/>
    <mergeCell ref="D32:E32"/>
    <mergeCell ref="F37:G37"/>
    <mergeCell ref="F40:G40"/>
    <mergeCell ref="F41:G41"/>
    <mergeCell ref="E42:H42"/>
    <mergeCell ref="E43:H43"/>
    <mergeCell ref="B49:H49"/>
    <mergeCell ref="B50:H50"/>
    <mergeCell ref="B51:H51"/>
    <mergeCell ref="B52:H52"/>
    <mergeCell ref="B53:H53"/>
    <mergeCell ref="B54:H54"/>
    <mergeCell ref="B55:H55"/>
    <mergeCell ref="D56:H56"/>
    <mergeCell ref="G62:H62"/>
    <mergeCell ref="B80:C80"/>
    <mergeCell ref="D80:E80"/>
    <mergeCell ref="F85:G85"/>
    <mergeCell ref="F88:G88"/>
    <mergeCell ref="F89:G89"/>
    <mergeCell ref="E90:H90"/>
    <mergeCell ref="E91:H91"/>
    <mergeCell ref="B97:H97"/>
    <mergeCell ref="B98:H98"/>
    <mergeCell ref="B99:H99"/>
    <mergeCell ref="B100:H100"/>
    <mergeCell ref="B101:H101"/>
    <mergeCell ref="B102:H102"/>
    <mergeCell ref="B103:H103"/>
    <mergeCell ref="D104:H104"/>
    <mergeCell ref="G110:H110"/>
    <mergeCell ref="B128:C128"/>
    <mergeCell ref="D128:E128"/>
    <mergeCell ref="F133:G133"/>
    <mergeCell ref="F136:G136"/>
    <mergeCell ref="F137:G137"/>
    <mergeCell ref="E138:H138"/>
    <mergeCell ref="E139:H139"/>
    <mergeCell ref="B40:E41"/>
    <mergeCell ref="B88:E89"/>
    <mergeCell ref="B136:E137"/>
  </mergeCells>
  <pageMargins left="0.17" right="0.17" top="0.3" bottom="0.88" header="0.17" footer="0.3"/>
  <pageSetup paperSize="9" orientation="portrait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44"/>
  <sheetViews>
    <sheetView workbookViewId="0">
      <selection activeCell="G15" sqref="G15"/>
    </sheetView>
  </sheetViews>
  <sheetFormatPr defaultColWidth="9" defaultRowHeight="15"/>
  <cols>
    <col min="1" max="1" width="1" customWidth="1"/>
    <col min="2" max="2" width="4.43809523809524" customWidth="1"/>
    <col min="3" max="3" width="41" customWidth="1"/>
    <col min="4" max="4" width="9.66666666666667" customWidth="1"/>
    <col min="5" max="5" width="7.43809523809524" customWidth="1"/>
    <col min="6" max="6" width="16.3333333333333" customWidth="1"/>
    <col min="7" max="7" width="10.4380952380952" customWidth="1"/>
    <col min="8" max="8" width="10.552380952381" customWidth="1"/>
    <col min="9" max="9" width="0.666666666666667" customWidth="1"/>
  </cols>
  <sheetData>
    <row r="1" ht="15.75" spans="2:15">
      <c r="B1" s="1" t="s">
        <v>0</v>
      </c>
      <c r="C1" s="1"/>
      <c r="D1" s="1"/>
      <c r="E1" s="1"/>
      <c r="F1" s="1"/>
      <c r="G1" s="1"/>
      <c r="H1" s="1"/>
    </row>
    <row r="2" ht="21" spans="2:15">
      <c r="B2" s="2" t="s">
        <v>1</v>
      </c>
      <c r="C2" s="3"/>
      <c r="D2" s="3"/>
      <c r="E2" s="3"/>
      <c r="F2" s="3"/>
      <c r="G2" s="3"/>
      <c r="H2" s="4"/>
    </row>
    <row r="3" ht="28.5" spans="2:15">
      <c r="B3" s="5" t="s">
        <v>2</v>
      </c>
      <c r="C3" s="6"/>
      <c r="D3" s="6"/>
      <c r="E3" s="6"/>
      <c r="F3" s="6"/>
      <c r="G3" s="6"/>
      <c r="H3" s="7"/>
    </row>
    <row r="4" spans="2:15">
      <c r="B4" s="8" t="s">
        <v>3</v>
      </c>
      <c r="C4" s="9"/>
      <c r="D4" s="9"/>
      <c r="E4" s="9"/>
      <c r="F4" s="9"/>
      <c r="G4" s="9"/>
      <c r="H4" s="10"/>
    </row>
    <row r="5" ht="21.75" spans="2:15">
      <c r="B5" s="11" t="s">
        <v>4</v>
      </c>
      <c r="C5" s="12"/>
      <c r="D5" s="12"/>
      <c r="E5" s="12"/>
      <c r="F5" s="12"/>
      <c r="G5" s="12"/>
      <c r="H5" s="13"/>
    </row>
    <row r="6" spans="2:15">
      <c r="B6" s="14" t="s">
        <v>5</v>
      </c>
      <c r="C6" s="15"/>
      <c r="D6" s="15"/>
      <c r="E6" s="15"/>
      <c r="F6" s="15"/>
      <c r="G6" s="15"/>
      <c r="H6" s="16"/>
    </row>
    <row r="7" spans="2:15">
      <c r="B7" s="17" t="s">
        <v>6</v>
      </c>
      <c r="C7" s="18"/>
      <c r="D7" s="18"/>
      <c r="E7" s="18"/>
      <c r="F7" s="18"/>
      <c r="G7" s="18"/>
      <c r="H7" s="19"/>
    </row>
    <row r="8" ht="15.75" customHeight="1" spans="2:15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15">
      <c r="B9" s="25" t="s">
        <v>9</v>
      </c>
      <c r="C9" s="21"/>
      <c r="D9" s="26" t="s">
        <v>10</v>
      </c>
      <c r="E9" s="26"/>
      <c r="F9" s="21" t="s">
        <v>191</v>
      </c>
      <c r="G9" s="31" t="s">
        <v>12</v>
      </c>
      <c r="H9" s="29">
        <v>46293</v>
      </c>
      <c r="O9" t="s">
        <v>37</v>
      </c>
    </row>
    <row r="10" spans="2:15">
      <c r="B10" s="20" t="s">
        <v>13</v>
      </c>
      <c r="C10" s="21"/>
      <c r="D10" s="26" t="s">
        <v>14</v>
      </c>
      <c r="E10" s="26"/>
      <c r="F10" s="21" t="s">
        <v>191</v>
      </c>
      <c r="G10" s="31" t="s">
        <v>12</v>
      </c>
      <c r="H10" s="29">
        <v>46293</v>
      </c>
    </row>
    <row r="11" spans="2:15">
      <c r="B11" s="20" t="s">
        <v>15</v>
      </c>
      <c r="C11" s="21"/>
      <c r="D11" s="26" t="s">
        <v>16</v>
      </c>
      <c r="E11" s="26"/>
      <c r="F11" s="121" t="s">
        <v>192</v>
      </c>
      <c r="G11" s="31" t="s">
        <v>12</v>
      </c>
      <c r="H11" s="29">
        <v>46289</v>
      </c>
    </row>
    <row r="12" spans="2:15">
      <c r="B12" s="20" t="s">
        <v>17</v>
      </c>
      <c r="C12" s="21"/>
      <c r="D12" s="26" t="s">
        <v>152</v>
      </c>
      <c r="E12" s="26"/>
      <c r="F12" s="122" t="s">
        <v>193</v>
      </c>
      <c r="G12" s="31" t="s">
        <v>12</v>
      </c>
      <c r="H12" s="29">
        <v>46292</v>
      </c>
    </row>
    <row r="13" spans="2:15">
      <c r="B13" s="20" t="s">
        <v>20</v>
      </c>
      <c r="C13" s="21"/>
      <c r="D13" s="26" t="s">
        <v>21</v>
      </c>
      <c r="E13" s="26"/>
      <c r="F13" s="21" t="s">
        <v>154</v>
      </c>
      <c r="G13" s="123" t="s">
        <v>12</v>
      </c>
      <c r="H13" s="124"/>
    </row>
    <row r="14" spans="2:15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15">
      <c r="B15" s="37" t="s">
        <v>26</v>
      </c>
      <c r="C15" s="38"/>
      <c r="D15" s="38" t="s">
        <v>27</v>
      </c>
      <c r="E15" s="38"/>
      <c r="F15" s="38" t="s">
        <v>28</v>
      </c>
      <c r="G15" s="39" t="s">
        <v>106</v>
      </c>
      <c r="H15" s="40"/>
      <c r="L15" t="s">
        <v>37</v>
      </c>
    </row>
    <row r="16" ht="3.75" customHeight="1"/>
    <row r="17" ht="30.75" spans="2:16">
      <c r="B17" s="125" t="s">
        <v>30</v>
      </c>
      <c r="C17" s="126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P17" t="s">
        <v>155</v>
      </c>
    </row>
    <row r="18" customHeight="1" spans="2:16">
      <c r="B18" s="127">
        <v>1</v>
      </c>
      <c r="C18" s="48" t="s">
        <v>194</v>
      </c>
      <c r="D18" s="128">
        <v>82073000</v>
      </c>
      <c r="E18" s="129" t="s">
        <v>39</v>
      </c>
      <c r="F18" s="130">
        <v>1</v>
      </c>
      <c r="G18" s="131">
        <v>9000</v>
      </c>
      <c r="H18" s="132">
        <f>SUM(F18*G18)</f>
        <v>9000</v>
      </c>
    </row>
    <row r="19" customHeight="1" spans="2:16">
      <c r="B19" s="62"/>
      <c r="C19" s="55" t="s">
        <v>195</v>
      </c>
      <c r="D19" s="128"/>
      <c r="E19" s="129"/>
      <c r="F19" s="130"/>
      <c r="G19" s="131"/>
      <c r="H19" s="132"/>
    </row>
    <row r="20" spans="2:16">
      <c r="B20" s="127"/>
      <c r="C20" s="133"/>
      <c r="D20" s="128"/>
      <c r="E20" s="129"/>
      <c r="F20" s="130"/>
      <c r="G20" s="131"/>
      <c r="H20" s="132"/>
    </row>
    <row r="21" spans="2:16">
      <c r="B21" s="62"/>
      <c r="C21" s="134"/>
      <c r="D21" s="128"/>
      <c r="E21" s="129"/>
      <c r="F21" s="130"/>
      <c r="G21" s="131"/>
      <c r="H21" s="132"/>
    </row>
    <row r="22" spans="2:16">
      <c r="B22" s="62"/>
      <c r="C22" s="134"/>
      <c r="D22" s="128"/>
      <c r="E22" s="129"/>
      <c r="F22" s="130"/>
      <c r="G22" s="131"/>
      <c r="H22" s="132"/>
    </row>
    <row r="23" spans="2:16">
      <c r="B23" s="127"/>
      <c r="C23" s="134"/>
      <c r="D23" s="128"/>
      <c r="E23" s="129"/>
      <c r="F23" s="130"/>
      <c r="G23" s="135"/>
      <c r="H23" s="132"/>
    </row>
    <row r="24" spans="2:16">
      <c r="B24" s="62"/>
      <c r="C24" s="134"/>
      <c r="D24" s="128"/>
      <c r="E24" s="129"/>
      <c r="F24" s="130"/>
      <c r="G24" s="131"/>
      <c r="H24" s="132"/>
    </row>
    <row r="25" spans="2:16">
      <c r="B25" s="62"/>
      <c r="C25" s="134"/>
      <c r="D25" s="128"/>
      <c r="E25" s="129"/>
      <c r="F25" s="130"/>
      <c r="G25" s="70"/>
      <c r="H25" s="132"/>
      <c r="O25" t="s">
        <v>37</v>
      </c>
    </row>
    <row r="26" spans="2:16">
      <c r="B26" s="62"/>
      <c r="C26" s="134"/>
      <c r="D26" s="128"/>
      <c r="E26" s="129"/>
      <c r="F26" s="130"/>
      <c r="G26" s="131"/>
      <c r="H26" s="132"/>
    </row>
    <row r="27" spans="2:16">
      <c r="B27" s="62"/>
      <c r="C27" s="121"/>
      <c r="D27" s="128"/>
      <c r="E27" s="129"/>
      <c r="F27" s="130"/>
      <c r="G27" s="70"/>
      <c r="H27" s="132"/>
    </row>
    <row r="28" spans="2:16">
      <c r="B28" s="62"/>
      <c r="C28" s="121"/>
      <c r="D28" s="27"/>
      <c r="E28" s="27"/>
      <c r="F28" s="66"/>
      <c r="G28" s="70"/>
      <c r="H28" s="132"/>
    </row>
    <row r="29" spans="2:16">
      <c r="B29" s="62"/>
      <c r="C29" s="121"/>
      <c r="D29" s="128"/>
      <c r="E29" s="129"/>
      <c r="F29" s="130"/>
      <c r="G29" s="21"/>
      <c r="H29" s="74"/>
    </row>
    <row r="30" spans="2:16">
      <c r="B30" s="54"/>
      <c r="C30" s="121"/>
      <c r="D30" s="128"/>
      <c r="E30" s="129"/>
      <c r="F30" s="130"/>
      <c r="G30" s="70"/>
      <c r="H30" s="132"/>
    </row>
    <row r="31" spans="2:16">
      <c r="B31" s="20"/>
      <c r="C31" s="121"/>
      <c r="D31" s="21"/>
      <c r="E31" s="21"/>
      <c r="F31" s="66"/>
      <c r="G31" s="21"/>
      <c r="H31" s="74"/>
    </row>
    <row r="32" ht="21" spans="2:16">
      <c r="B32" s="136" t="s">
        <v>158</v>
      </c>
      <c r="C32" s="137"/>
      <c r="D32" s="66" t="s">
        <v>43</v>
      </c>
      <c r="E32" s="73"/>
      <c r="F32" s="27">
        <f>SUM(F18:F31)</f>
        <v>1</v>
      </c>
      <c r="G32" s="21"/>
      <c r="H32" s="74"/>
    </row>
    <row r="33" spans="2:9">
      <c r="B33" s="75"/>
      <c r="C33" s="76"/>
      <c r="D33" s="76"/>
      <c r="E33" s="77"/>
      <c r="F33" s="26" t="s">
        <v>44</v>
      </c>
      <c r="G33" s="26"/>
      <c r="H33" s="78">
        <f>SUM(H18:H32)</f>
        <v>9000</v>
      </c>
    </row>
    <row r="34" spans="2:9">
      <c r="B34" s="79" t="s">
        <v>45</v>
      </c>
      <c r="C34" s="80"/>
      <c r="E34" s="81"/>
      <c r="F34" s="21" t="s">
        <v>46</v>
      </c>
      <c r="G34" s="82">
        <v>0.09</v>
      </c>
      <c r="H34" s="78">
        <f>SUM(H33*G34)</f>
        <v>810</v>
      </c>
    </row>
    <row r="35" spans="2:9">
      <c r="B35" s="83" t="s">
        <v>47</v>
      </c>
      <c r="C35" s="84"/>
      <c r="E35" s="81"/>
      <c r="F35" s="21" t="s">
        <v>48</v>
      </c>
      <c r="G35" s="82">
        <v>0.09</v>
      </c>
      <c r="H35" s="78">
        <f>SUM(H33*G35)</f>
        <v>810</v>
      </c>
    </row>
    <row r="36" spans="2:9">
      <c r="B36" s="83" t="s">
        <v>49</v>
      </c>
      <c r="C36" s="84"/>
      <c r="E36" s="81"/>
      <c r="F36" s="21" t="s">
        <v>50</v>
      </c>
      <c r="G36" s="82">
        <v>0.18</v>
      </c>
      <c r="H36" s="85" t="s">
        <v>51</v>
      </c>
    </row>
    <row r="37" spans="2:9">
      <c r="B37" s="83" t="s">
        <v>52</v>
      </c>
      <c r="C37" s="84"/>
      <c r="E37" s="81"/>
      <c r="F37" s="86" t="s">
        <v>53</v>
      </c>
      <c r="G37" s="87"/>
      <c r="H37" s="78">
        <f>SUM(H34:H36)</f>
        <v>1620</v>
      </c>
    </row>
    <row r="38" spans="2:9">
      <c r="B38" s="83" t="s">
        <v>54</v>
      </c>
      <c r="C38" s="84"/>
      <c r="E38" s="81"/>
      <c r="F38" s="88" t="s">
        <v>55</v>
      </c>
      <c r="G38" s="88"/>
      <c r="H38" s="89">
        <f>SUM(H33+H37+H40)</f>
        <v>10620</v>
      </c>
    </row>
    <row r="39" spans="2:9">
      <c r="B39" s="90"/>
      <c r="C39" s="91"/>
      <c r="D39" s="91"/>
      <c r="E39" s="92"/>
      <c r="F39" s="93" t="s">
        <v>56</v>
      </c>
      <c r="G39" s="93"/>
      <c r="H39" s="74"/>
    </row>
    <row r="40" ht="14.4" customHeight="1" spans="2:9">
      <c r="B40" s="138" t="s">
        <v>196</v>
      </c>
      <c r="C40" s="139"/>
      <c r="D40" s="139"/>
      <c r="E40" s="140"/>
      <c r="F40" s="86" t="s">
        <v>58</v>
      </c>
      <c r="G40" s="87"/>
      <c r="H40" s="74"/>
    </row>
    <row r="41" ht="15.75" spans="2:9">
      <c r="B41" s="141"/>
      <c r="C41" s="142"/>
      <c r="D41" s="142"/>
      <c r="E41" s="143"/>
      <c r="F41" s="144"/>
      <c r="G41" s="145"/>
      <c r="H41" s="40"/>
    </row>
    <row r="42" spans="2:9">
      <c r="B42" s="100" t="s">
        <v>59</v>
      </c>
      <c r="C42" s="101"/>
      <c r="D42" s="101"/>
      <c r="E42" s="102" t="s">
        <v>60</v>
      </c>
      <c r="F42" s="102"/>
      <c r="G42" s="102"/>
      <c r="H42" s="103"/>
      <c r="I42" s="107"/>
    </row>
    <row r="43" ht="18.75" spans="2:9">
      <c r="B43" s="104" t="s">
        <v>61</v>
      </c>
      <c r="E43" s="105" t="s">
        <v>62</v>
      </c>
      <c r="F43" s="105"/>
      <c r="G43" s="105"/>
      <c r="H43" s="106"/>
    </row>
    <row r="44" ht="18.75" spans="2:9">
      <c r="B44" s="108" t="s">
        <v>160</v>
      </c>
      <c r="C44" s="109"/>
      <c r="D44" s="110"/>
      <c r="E44" s="110"/>
      <c r="F44" s="111"/>
      <c r="G44" s="111"/>
      <c r="H44" s="42"/>
    </row>
    <row r="45" spans="2:9">
      <c r="B45" s="112" t="s">
        <v>64</v>
      </c>
      <c r="C45" s="113"/>
      <c r="D45" s="113"/>
      <c r="E45" s="113"/>
      <c r="F45" s="114"/>
      <c r="G45" s="111"/>
      <c r="H45" s="42"/>
    </row>
    <row r="46" spans="2:9">
      <c r="B46" s="112" t="s">
        <v>65</v>
      </c>
      <c r="C46" s="113"/>
      <c r="D46" s="113"/>
      <c r="E46" s="113"/>
      <c r="F46" s="114"/>
      <c r="G46" s="111"/>
      <c r="H46" s="42"/>
    </row>
    <row r="47" spans="2:9">
      <c r="B47" s="41"/>
      <c r="F47" s="111"/>
      <c r="G47" s="111"/>
      <c r="H47" s="42"/>
    </row>
    <row r="48" ht="15.75" spans="2:9">
      <c r="B48" s="115" t="s">
        <v>66</v>
      </c>
      <c r="C48" s="116"/>
      <c r="D48" s="116"/>
      <c r="E48" s="116"/>
      <c r="F48" s="116"/>
      <c r="G48" s="116"/>
      <c r="H48" s="117" t="s">
        <v>67</v>
      </c>
    </row>
    <row r="49" ht="15.75" spans="2:8">
      <c r="B49" s="1" t="s">
        <v>68</v>
      </c>
      <c r="C49" s="1"/>
      <c r="D49" s="1"/>
      <c r="E49" s="1"/>
      <c r="F49" s="1"/>
      <c r="G49" s="1"/>
      <c r="H49" s="1"/>
    </row>
    <row r="50" ht="21" spans="2:8">
      <c r="B50" s="2" t="s">
        <v>1</v>
      </c>
      <c r="C50" s="3"/>
      <c r="D50" s="3"/>
      <c r="E50" s="3"/>
      <c r="F50" s="3"/>
      <c r="G50" s="3"/>
      <c r="H50" s="4"/>
    </row>
    <row r="51" ht="28.5" spans="2:8">
      <c r="B51" s="5" t="s">
        <v>2</v>
      </c>
      <c r="C51" s="6"/>
      <c r="D51" s="6"/>
      <c r="E51" s="6"/>
      <c r="F51" s="6"/>
      <c r="G51" s="6"/>
      <c r="H51" s="7"/>
    </row>
    <row r="52" spans="2:8">
      <c r="B52" s="8" t="s">
        <v>3</v>
      </c>
      <c r="C52" s="9"/>
      <c r="D52" s="9"/>
      <c r="E52" s="9"/>
      <c r="F52" s="9"/>
      <c r="G52" s="9"/>
      <c r="H52" s="10"/>
    </row>
    <row r="53" ht="21.75" spans="2:8">
      <c r="B53" s="11" t="s">
        <v>4</v>
      </c>
      <c r="C53" s="12"/>
      <c r="D53" s="12"/>
      <c r="E53" s="12"/>
      <c r="F53" s="12"/>
      <c r="G53" s="12"/>
      <c r="H53" s="13"/>
    </row>
    <row r="54" spans="2:8">
      <c r="B54" s="14" t="s">
        <v>5</v>
      </c>
      <c r="C54" s="15"/>
      <c r="D54" s="15"/>
      <c r="E54" s="15"/>
      <c r="F54" s="15"/>
      <c r="G54" s="15"/>
      <c r="H54" s="16"/>
    </row>
    <row r="55" spans="2:8">
      <c r="B55" s="17" t="s">
        <v>6</v>
      </c>
      <c r="C55" s="18"/>
      <c r="D55" s="18"/>
      <c r="E55" s="18"/>
      <c r="F55" s="18"/>
      <c r="G55" s="18"/>
      <c r="H55" s="19"/>
    </row>
    <row r="56" ht="15.75" customHeight="1" spans="2:8">
      <c r="B56" s="20" t="s">
        <v>7</v>
      </c>
      <c r="C56" s="21"/>
      <c r="D56" s="22" t="s">
        <v>8</v>
      </c>
      <c r="E56" s="23"/>
      <c r="F56" s="23"/>
      <c r="G56" s="23"/>
      <c r="H56" s="24"/>
    </row>
    <row r="57" ht="21" spans="2:8">
      <c r="B57" s="25" t="s">
        <v>9</v>
      </c>
      <c r="C57" s="21"/>
      <c r="D57" s="26" t="s">
        <v>10</v>
      </c>
      <c r="E57" s="26"/>
      <c r="F57" s="21" t="s">
        <v>191</v>
      </c>
      <c r="G57" s="31" t="s">
        <v>12</v>
      </c>
      <c r="H57" s="29">
        <v>46293</v>
      </c>
    </row>
    <row r="58" spans="2:8">
      <c r="B58" s="20" t="s">
        <v>13</v>
      </c>
      <c r="C58" s="21"/>
      <c r="D58" s="26" t="s">
        <v>14</v>
      </c>
      <c r="E58" s="26"/>
      <c r="F58" s="21" t="s">
        <v>191</v>
      </c>
      <c r="G58" s="31" t="s">
        <v>12</v>
      </c>
      <c r="H58" s="29">
        <v>46293</v>
      </c>
    </row>
    <row r="59" spans="2:8">
      <c r="B59" s="20" t="s">
        <v>15</v>
      </c>
      <c r="C59" s="21"/>
      <c r="D59" s="26" t="s">
        <v>16</v>
      </c>
      <c r="E59" s="26"/>
      <c r="F59" s="121" t="s">
        <v>192</v>
      </c>
      <c r="G59" s="31" t="s">
        <v>12</v>
      </c>
      <c r="H59" s="29">
        <v>46289</v>
      </c>
    </row>
    <row r="60" spans="2:8">
      <c r="B60" s="20" t="s">
        <v>17</v>
      </c>
      <c r="C60" s="21"/>
      <c r="D60" s="26" t="s">
        <v>152</v>
      </c>
      <c r="E60" s="26"/>
      <c r="F60" s="122" t="s">
        <v>193</v>
      </c>
      <c r="G60" s="31" t="s">
        <v>12</v>
      </c>
      <c r="H60" s="29">
        <v>46292</v>
      </c>
    </row>
    <row r="61" spans="2:8">
      <c r="B61" s="20" t="s">
        <v>20</v>
      </c>
      <c r="C61" s="21"/>
      <c r="D61" s="26" t="s">
        <v>21</v>
      </c>
      <c r="E61" s="26"/>
      <c r="F61" s="21" t="s">
        <v>154</v>
      </c>
      <c r="G61" s="123" t="s">
        <v>12</v>
      </c>
      <c r="H61" s="124"/>
    </row>
    <row r="62" spans="2:8">
      <c r="B62" s="35" t="s">
        <v>22</v>
      </c>
      <c r="C62" s="26"/>
      <c r="D62" s="26" t="s">
        <v>23</v>
      </c>
      <c r="E62" s="26"/>
      <c r="F62" s="21" t="s">
        <v>24</v>
      </c>
      <c r="G62" s="28" t="s">
        <v>25</v>
      </c>
      <c r="H62" s="36"/>
    </row>
    <row r="63" ht="15.75" spans="2:8">
      <c r="B63" s="37" t="s">
        <v>26</v>
      </c>
      <c r="C63" s="38"/>
      <c r="D63" s="38" t="s">
        <v>27</v>
      </c>
      <c r="E63" s="38"/>
      <c r="F63" s="38" t="s">
        <v>28</v>
      </c>
      <c r="G63" s="39" t="s">
        <v>106</v>
      </c>
      <c r="H63" s="40"/>
    </row>
    <row r="64" ht="4.5" customHeight="1"/>
    <row r="65" ht="30.75" spans="2:8">
      <c r="B65" s="125" t="s">
        <v>30</v>
      </c>
      <c r="C65" s="126" t="s">
        <v>31</v>
      </c>
      <c r="D65" s="45" t="s">
        <v>32</v>
      </c>
      <c r="E65" s="44" t="s">
        <v>33</v>
      </c>
      <c r="F65" s="44" t="s">
        <v>34</v>
      </c>
      <c r="G65" s="44" t="s">
        <v>35</v>
      </c>
      <c r="H65" s="46" t="s">
        <v>36</v>
      </c>
    </row>
    <row r="66" customHeight="1" spans="2:8">
      <c r="B66" s="127">
        <v>1</v>
      </c>
      <c r="C66" s="48" t="s">
        <v>194</v>
      </c>
      <c r="D66" s="128">
        <v>82073000</v>
      </c>
      <c r="E66" s="129" t="s">
        <v>39</v>
      </c>
      <c r="F66" s="130">
        <v>1</v>
      </c>
      <c r="G66" s="131">
        <v>9000</v>
      </c>
      <c r="H66" s="132">
        <f>SUM(F66*G66)</f>
        <v>9000</v>
      </c>
    </row>
    <row r="67" spans="2:8">
      <c r="B67" s="62"/>
      <c r="C67" s="55" t="s">
        <v>195</v>
      </c>
      <c r="D67" s="128"/>
      <c r="E67" s="129"/>
      <c r="F67" s="130"/>
      <c r="G67" s="131"/>
      <c r="H67" s="132"/>
    </row>
    <row r="68" spans="2:8">
      <c r="B68" s="127"/>
      <c r="C68" s="133"/>
      <c r="D68" s="128"/>
      <c r="E68" s="129"/>
      <c r="F68" s="130"/>
      <c r="G68" s="131"/>
      <c r="H68" s="132"/>
    </row>
    <row r="69" spans="2:8">
      <c r="B69" s="62"/>
      <c r="C69" s="134"/>
      <c r="D69" s="128"/>
      <c r="E69" s="129"/>
      <c r="F69" s="130"/>
      <c r="G69" s="131"/>
      <c r="H69" s="132"/>
    </row>
    <row r="70" spans="2:8">
      <c r="B70" s="62"/>
      <c r="C70" s="134"/>
      <c r="D70" s="128"/>
      <c r="E70" s="129"/>
      <c r="F70" s="130"/>
      <c r="G70" s="131"/>
      <c r="H70" s="132"/>
    </row>
    <row r="71" spans="2:8">
      <c r="B71" s="127"/>
      <c r="C71" s="134"/>
      <c r="D71" s="128"/>
      <c r="E71" s="129"/>
      <c r="F71" s="130"/>
      <c r="G71" s="135"/>
      <c r="H71" s="132"/>
    </row>
    <row r="72" spans="2:8">
      <c r="B72" s="62"/>
      <c r="C72" s="134"/>
      <c r="D72" s="128"/>
      <c r="E72" s="129"/>
      <c r="F72" s="130"/>
      <c r="G72" s="131"/>
      <c r="H72" s="132"/>
    </row>
    <row r="73" spans="2:8">
      <c r="B73" s="62"/>
      <c r="C73" s="134"/>
      <c r="D73" s="128"/>
      <c r="E73" s="129"/>
      <c r="F73" s="130"/>
      <c r="G73" s="70"/>
      <c r="H73" s="132"/>
    </row>
    <row r="74" spans="2:8">
      <c r="B74" s="62"/>
      <c r="C74" s="134"/>
      <c r="D74" s="128"/>
      <c r="E74" s="129"/>
      <c r="F74" s="130"/>
      <c r="G74" s="131"/>
      <c r="H74" s="132"/>
    </row>
    <row r="75" spans="2:8">
      <c r="B75" s="62"/>
      <c r="C75" s="121"/>
      <c r="D75" s="128"/>
      <c r="E75" s="129"/>
      <c r="F75" s="130"/>
      <c r="G75" s="70"/>
      <c r="H75" s="132"/>
    </row>
    <row r="76" spans="2:8">
      <c r="B76" s="62"/>
      <c r="C76" s="121"/>
      <c r="D76" s="27"/>
      <c r="E76" s="27"/>
      <c r="F76" s="66"/>
      <c r="G76" s="70"/>
      <c r="H76" s="132"/>
    </row>
    <row r="77" spans="2:8">
      <c r="B77" s="62"/>
      <c r="C77" s="121"/>
      <c r="D77" s="128"/>
      <c r="E77" s="129"/>
      <c r="F77" s="130"/>
      <c r="G77" s="21"/>
      <c r="H77" s="74"/>
    </row>
    <row r="78" spans="2:8">
      <c r="B78" s="54"/>
      <c r="C78" s="121"/>
      <c r="D78" s="128"/>
      <c r="E78" s="129"/>
      <c r="F78" s="130"/>
      <c r="G78" s="70"/>
      <c r="H78" s="132"/>
    </row>
    <row r="79" spans="2:8">
      <c r="B79" s="20"/>
      <c r="C79" s="121"/>
      <c r="D79" s="21"/>
      <c r="E79" s="21"/>
      <c r="F79" s="66"/>
      <c r="G79" s="21"/>
      <c r="H79" s="74"/>
    </row>
    <row r="80" ht="21" spans="2:8">
      <c r="B80" s="136" t="s">
        <v>158</v>
      </c>
      <c r="C80" s="137"/>
      <c r="D80" s="66" t="s">
        <v>43</v>
      </c>
      <c r="E80" s="73"/>
      <c r="F80" s="27">
        <f>SUM(F66:F79)</f>
        <v>1</v>
      </c>
      <c r="G80" s="21"/>
      <c r="H80" s="74"/>
    </row>
    <row r="81" spans="2:8">
      <c r="B81" s="75"/>
      <c r="C81" s="76"/>
      <c r="D81" s="76"/>
      <c r="E81" s="77"/>
      <c r="F81" s="26" t="s">
        <v>44</v>
      </c>
      <c r="G81" s="26"/>
      <c r="H81" s="78">
        <f>SUM(H66:H80)</f>
        <v>9000</v>
      </c>
    </row>
    <row r="82" spans="2:8">
      <c r="B82" s="79" t="s">
        <v>45</v>
      </c>
      <c r="C82" s="80"/>
      <c r="E82" s="81"/>
      <c r="F82" s="21" t="s">
        <v>46</v>
      </c>
      <c r="G82" s="82">
        <v>0.09</v>
      </c>
      <c r="H82" s="78">
        <f>SUM(H81*G82)</f>
        <v>810</v>
      </c>
    </row>
    <row r="83" spans="2:8">
      <c r="B83" s="83" t="s">
        <v>47</v>
      </c>
      <c r="C83" s="84"/>
      <c r="E83" s="81"/>
      <c r="F83" s="21" t="s">
        <v>48</v>
      </c>
      <c r="G83" s="82">
        <v>0.09</v>
      </c>
      <c r="H83" s="78">
        <f>SUM(H81*G83)</f>
        <v>810</v>
      </c>
    </row>
    <row r="84" spans="2:8">
      <c r="B84" s="83" t="s">
        <v>49</v>
      </c>
      <c r="C84" s="84"/>
      <c r="E84" s="81"/>
      <c r="F84" s="21" t="s">
        <v>50</v>
      </c>
      <c r="G84" s="82">
        <v>0.18</v>
      </c>
      <c r="H84" s="85" t="s">
        <v>51</v>
      </c>
    </row>
    <row r="85" spans="2:8">
      <c r="B85" s="83" t="s">
        <v>52</v>
      </c>
      <c r="C85" s="84"/>
      <c r="E85" s="81"/>
      <c r="F85" s="86" t="s">
        <v>53</v>
      </c>
      <c r="G85" s="87"/>
      <c r="H85" s="78">
        <f>SUM(H82:H84)</f>
        <v>1620</v>
      </c>
    </row>
    <row r="86" spans="2:8">
      <c r="B86" s="83" t="s">
        <v>54</v>
      </c>
      <c r="C86" s="84"/>
      <c r="E86" s="81"/>
      <c r="F86" s="88" t="s">
        <v>55</v>
      </c>
      <c r="G86" s="88"/>
      <c r="H86" s="89">
        <f>SUM(H81+H85+H88)</f>
        <v>10620</v>
      </c>
    </row>
    <row r="87" spans="2:8">
      <c r="B87" s="90"/>
      <c r="C87" s="91"/>
      <c r="D87" s="91"/>
      <c r="E87" s="92"/>
      <c r="F87" s="93" t="s">
        <v>56</v>
      </c>
      <c r="G87" s="93"/>
      <c r="H87" s="74"/>
    </row>
    <row r="88" customHeight="1" spans="2:8">
      <c r="B88" s="138" t="s">
        <v>196</v>
      </c>
      <c r="C88" s="139"/>
      <c r="D88" s="139"/>
      <c r="E88" s="140"/>
      <c r="F88" s="86" t="s">
        <v>58</v>
      </c>
      <c r="G88" s="87"/>
      <c r="H88" s="74"/>
    </row>
    <row r="89" ht="15.75" spans="2:8">
      <c r="B89" s="141"/>
      <c r="C89" s="142"/>
      <c r="D89" s="142"/>
      <c r="E89" s="143"/>
      <c r="F89" s="144"/>
      <c r="G89" s="145"/>
      <c r="H89" s="40"/>
    </row>
    <row r="90" spans="2:8">
      <c r="B90" s="100" t="s">
        <v>59</v>
      </c>
      <c r="C90" s="101"/>
      <c r="D90" s="101"/>
      <c r="E90" s="102" t="s">
        <v>60</v>
      </c>
      <c r="F90" s="102"/>
      <c r="G90" s="102"/>
      <c r="H90" s="103"/>
    </row>
    <row r="91" ht="18.75" spans="2:8">
      <c r="B91" s="104" t="s">
        <v>61</v>
      </c>
      <c r="E91" s="105" t="s">
        <v>62</v>
      </c>
      <c r="F91" s="105"/>
      <c r="G91" s="105"/>
      <c r="H91" s="106"/>
    </row>
    <row r="92" ht="18.75" spans="2:8">
      <c r="B92" s="108" t="s">
        <v>160</v>
      </c>
      <c r="C92" s="109"/>
      <c r="D92" s="110"/>
      <c r="E92" s="110"/>
      <c r="F92" s="111"/>
      <c r="G92" s="111"/>
      <c r="H92" s="42"/>
    </row>
    <row r="93" spans="2:8">
      <c r="B93" s="112" t="s">
        <v>64</v>
      </c>
      <c r="C93" s="113"/>
      <c r="D93" s="113"/>
      <c r="E93" s="113"/>
      <c r="F93" s="114"/>
      <c r="G93" s="111"/>
      <c r="H93" s="42"/>
    </row>
    <row r="94" spans="2:8">
      <c r="B94" s="112" t="s">
        <v>65</v>
      </c>
      <c r="C94" s="113"/>
      <c r="D94" s="113"/>
      <c r="E94" s="113"/>
      <c r="F94" s="114"/>
      <c r="G94" s="111"/>
      <c r="H94" s="42"/>
    </row>
    <row r="95" ht="15.75" customHeight="1" spans="2:8">
      <c r="B95" s="41"/>
      <c r="F95" s="111"/>
      <c r="G95" s="111"/>
      <c r="H95" s="42"/>
    </row>
    <row r="96" ht="15.75" spans="2:8">
      <c r="B96" s="115" t="s">
        <v>66</v>
      </c>
      <c r="C96" s="116"/>
      <c r="D96" s="116"/>
      <c r="E96" s="116"/>
      <c r="F96" s="116"/>
      <c r="G96" s="116"/>
      <c r="H96" s="117" t="s">
        <v>67</v>
      </c>
    </row>
    <row r="97" ht="18.75" customHeight="1" spans="2:8">
      <c r="B97" s="1" t="s">
        <v>69</v>
      </c>
      <c r="C97" s="1"/>
      <c r="D97" s="1"/>
      <c r="E97" s="1"/>
      <c r="F97" s="1"/>
      <c r="G97" s="1"/>
      <c r="H97" s="1"/>
    </row>
    <row r="98" ht="21" spans="2:8">
      <c r="B98" s="2" t="s">
        <v>1</v>
      </c>
      <c r="C98" s="3"/>
      <c r="D98" s="3"/>
      <c r="E98" s="3"/>
      <c r="F98" s="3"/>
      <c r="G98" s="3"/>
      <c r="H98" s="4"/>
    </row>
    <row r="99" ht="28.5" spans="2:8">
      <c r="B99" s="5" t="s">
        <v>2</v>
      </c>
      <c r="C99" s="6"/>
      <c r="D99" s="6"/>
      <c r="E99" s="6"/>
      <c r="F99" s="6"/>
      <c r="G99" s="6"/>
      <c r="H99" s="7"/>
    </row>
    <row r="100" spans="2:8">
      <c r="B100" s="8" t="s">
        <v>3</v>
      </c>
      <c r="C100" s="9"/>
      <c r="D100" s="9"/>
      <c r="E100" s="9"/>
      <c r="F100" s="9"/>
      <c r="G100" s="9"/>
      <c r="H100" s="10"/>
    </row>
    <row r="101" ht="21.75" spans="2:8">
      <c r="B101" s="11" t="s">
        <v>4</v>
      </c>
      <c r="C101" s="12"/>
      <c r="D101" s="12"/>
      <c r="E101" s="12"/>
      <c r="F101" s="12"/>
      <c r="G101" s="12"/>
      <c r="H101" s="13"/>
    </row>
    <row r="102" spans="2:8">
      <c r="B102" s="14" t="s">
        <v>5</v>
      </c>
      <c r="C102" s="15"/>
      <c r="D102" s="15"/>
      <c r="E102" s="15"/>
      <c r="F102" s="15"/>
      <c r="G102" s="15"/>
      <c r="H102" s="16"/>
    </row>
    <row r="103" spans="2:8">
      <c r="B103" s="17" t="s">
        <v>6</v>
      </c>
      <c r="C103" s="18"/>
      <c r="D103" s="18"/>
      <c r="E103" s="18"/>
      <c r="F103" s="18"/>
      <c r="G103" s="18"/>
      <c r="H103" s="19"/>
    </row>
    <row r="104" ht="15.75" customHeight="1" spans="2:8">
      <c r="B104" s="20" t="s">
        <v>7</v>
      </c>
      <c r="C104" s="21"/>
      <c r="D104" s="22" t="s">
        <v>8</v>
      </c>
      <c r="E104" s="23"/>
      <c r="F104" s="23"/>
      <c r="G104" s="23"/>
      <c r="H104" s="24"/>
    </row>
    <row r="105" ht="21" spans="2:8">
      <c r="B105" s="25" t="s">
        <v>9</v>
      </c>
      <c r="C105" s="21"/>
      <c r="D105" s="26" t="s">
        <v>10</v>
      </c>
      <c r="E105" s="26"/>
      <c r="F105" s="21" t="s">
        <v>191</v>
      </c>
      <c r="G105" s="31" t="s">
        <v>12</v>
      </c>
      <c r="H105" s="29">
        <v>46293</v>
      </c>
    </row>
    <row r="106" spans="2:8">
      <c r="B106" s="20" t="s">
        <v>13</v>
      </c>
      <c r="C106" s="21"/>
      <c r="D106" s="26" t="s">
        <v>14</v>
      </c>
      <c r="E106" s="26"/>
      <c r="F106" s="21" t="s">
        <v>191</v>
      </c>
      <c r="G106" s="31" t="s">
        <v>12</v>
      </c>
      <c r="H106" s="29">
        <v>46293</v>
      </c>
    </row>
    <row r="107" spans="2:8">
      <c r="B107" s="20" t="s">
        <v>15</v>
      </c>
      <c r="C107" s="21"/>
      <c r="D107" s="26" t="s">
        <v>16</v>
      </c>
      <c r="E107" s="26"/>
      <c r="F107" s="121" t="s">
        <v>192</v>
      </c>
      <c r="G107" s="31" t="s">
        <v>12</v>
      </c>
      <c r="H107" s="29">
        <v>46289</v>
      </c>
    </row>
    <row r="108" spans="2:8">
      <c r="B108" s="20" t="s">
        <v>17</v>
      </c>
      <c r="C108" s="21"/>
      <c r="D108" s="26" t="s">
        <v>152</v>
      </c>
      <c r="E108" s="26"/>
      <c r="F108" s="122" t="s">
        <v>193</v>
      </c>
      <c r="G108" s="31" t="s">
        <v>12</v>
      </c>
      <c r="H108" s="29">
        <v>46292</v>
      </c>
    </row>
    <row r="109" spans="2:8">
      <c r="B109" s="20" t="s">
        <v>20</v>
      </c>
      <c r="C109" s="21"/>
      <c r="D109" s="26" t="s">
        <v>21</v>
      </c>
      <c r="E109" s="26"/>
      <c r="F109" s="21" t="s">
        <v>154</v>
      </c>
      <c r="G109" s="123" t="s">
        <v>12</v>
      </c>
      <c r="H109" s="124"/>
    </row>
    <row r="110" spans="2:8">
      <c r="B110" s="35" t="s">
        <v>22</v>
      </c>
      <c r="C110" s="26"/>
      <c r="D110" s="26" t="s">
        <v>23</v>
      </c>
      <c r="E110" s="26"/>
      <c r="F110" s="21" t="s">
        <v>24</v>
      </c>
      <c r="G110" s="28" t="s">
        <v>25</v>
      </c>
      <c r="H110" s="36"/>
    </row>
    <row r="111" ht="15.75" spans="2:8">
      <c r="B111" s="37" t="s">
        <v>26</v>
      </c>
      <c r="C111" s="38"/>
      <c r="D111" s="38" t="s">
        <v>27</v>
      </c>
      <c r="E111" s="38"/>
      <c r="F111" s="38" t="s">
        <v>28</v>
      </c>
      <c r="G111" s="39" t="s">
        <v>106</v>
      </c>
      <c r="H111" s="40"/>
    </row>
    <row r="112" ht="3.75" customHeight="1"/>
    <row r="113" ht="30.75" spans="2:8">
      <c r="B113" s="125" t="s">
        <v>30</v>
      </c>
      <c r="C113" s="126" t="s">
        <v>31</v>
      </c>
      <c r="D113" s="45" t="s">
        <v>32</v>
      </c>
      <c r="E113" s="44" t="s">
        <v>33</v>
      </c>
      <c r="F113" s="44" t="s">
        <v>34</v>
      </c>
      <c r="G113" s="44" t="s">
        <v>35</v>
      </c>
      <c r="H113" s="46" t="s">
        <v>36</v>
      </c>
    </row>
    <row r="114" customHeight="1" spans="2:8">
      <c r="B114" s="127">
        <v>1</v>
      </c>
      <c r="C114" s="48" t="s">
        <v>194</v>
      </c>
      <c r="D114" s="128">
        <v>82073000</v>
      </c>
      <c r="E114" s="129" t="s">
        <v>39</v>
      </c>
      <c r="F114" s="130">
        <v>1</v>
      </c>
      <c r="G114" s="131">
        <v>9000</v>
      </c>
      <c r="H114" s="132">
        <f>SUM(F114*G114)</f>
        <v>9000</v>
      </c>
    </row>
    <row r="115" spans="2:8">
      <c r="B115" s="62"/>
      <c r="C115" s="55" t="s">
        <v>195</v>
      </c>
      <c r="D115" s="128"/>
      <c r="E115" s="129"/>
      <c r="F115" s="130"/>
      <c r="G115" s="131"/>
      <c r="H115" s="132"/>
    </row>
    <row r="116" spans="2:8">
      <c r="B116" s="127"/>
      <c r="C116" s="133"/>
      <c r="D116" s="128"/>
      <c r="E116" s="129"/>
      <c r="F116" s="130"/>
      <c r="G116" s="131"/>
      <c r="H116" s="132"/>
    </row>
    <row r="117" customHeight="1" spans="2:8">
      <c r="B117" s="62"/>
      <c r="C117" s="134"/>
      <c r="D117" s="128"/>
      <c r="E117" s="129"/>
      <c r="F117" s="130"/>
      <c r="G117" s="131"/>
      <c r="H117" s="132"/>
    </row>
    <row r="118" spans="2:8">
      <c r="B118" s="62"/>
      <c r="C118" s="134"/>
      <c r="D118" s="128"/>
      <c r="E118" s="129"/>
      <c r="F118" s="130"/>
      <c r="G118" s="131"/>
      <c r="H118" s="132"/>
    </row>
    <row r="119" spans="2:8">
      <c r="B119" s="127"/>
      <c r="C119" s="134"/>
      <c r="D119" s="128"/>
      <c r="E119" s="129"/>
      <c r="F119" s="130"/>
      <c r="G119" s="135"/>
      <c r="H119" s="132"/>
    </row>
    <row r="120" spans="2:8">
      <c r="B120" s="62"/>
      <c r="C120" s="134"/>
      <c r="D120" s="128"/>
      <c r="E120" s="129"/>
      <c r="F120" s="130"/>
      <c r="G120" s="131"/>
      <c r="H120" s="132"/>
    </row>
    <row r="121" spans="2:8">
      <c r="B121" s="62"/>
      <c r="C121" s="134"/>
      <c r="D121" s="128"/>
      <c r="E121" s="129"/>
      <c r="F121" s="130"/>
      <c r="G121" s="70"/>
      <c r="H121" s="132"/>
    </row>
    <row r="122" spans="2:8">
      <c r="B122" s="62"/>
      <c r="C122" s="134"/>
      <c r="D122" s="128"/>
      <c r="E122" s="129"/>
      <c r="F122" s="130"/>
      <c r="G122" s="131"/>
      <c r="H122" s="132"/>
    </row>
    <row r="123" spans="2:8">
      <c r="B123" s="62"/>
      <c r="C123" s="121"/>
      <c r="D123" s="128"/>
      <c r="E123" s="129"/>
      <c r="F123" s="130"/>
      <c r="G123" s="70"/>
      <c r="H123" s="132"/>
    </row>
    <row r="124" spans="2:8">
      <c r="B124" s="62"/>
      <c r="C124" s="121"/>
      <c r="D124" s="27"/>
      <c r="E124" s="27"/>
      <c r="F124" s="66"/>
      <c r="G124" s="70"/>
      <c r="H124" s="132"/>
    </row>
    <row r="125" spans="2:8">
      <c r="B125" s="62"/>
      <c r="C125" s="121"/>
      <c r="D125" s="128"/>
      <c r="E125" s="129"/>
      <c r="F125" s="130"/>
      <c r="G125" s="21"/>
      <c r="H125" s="74"/>
    </row>
    <row r="126" spans="2:8">
      <c r="B126" s="54"/>
      <c r="C126" s="121"/>
      <c r="D126" s="128"/>
      <c r="E126" s="129"/>
      <c r="F126" s="130"/>
      <c r="G126" s="70"/>
      <c r="H126" s="132"/>
    </row>
    <row r="127" spans="2:8">
      <c r="B127" s="20"/>
      <c r="C127" s="121"/>
      <c r="D127" s="21"/>
      <c r="E127" s="21"/>
      <c r="F127" s="66"/>
      <c r="G127" s="21"/>
      <c r="H127" s="74"/>
    </row>
    <row r="128" ht="21" spans="2:8">
      <c r="B128" s="136" t="s">
        <v>158</v>
      </c>
      <c r="C128" s="137"/>
      <c r="D128" s="66" t="s">
        <v>43</v>
      </c>
      <c r="E128" s="73"/>
      <c r="F128" s="27">
        <f>SUM(F114:F127)</f>
        <v>1</v>
      </c>
      <c r="G128" s="21"/>
      <c r="H128" s="74"/>
    </row>
    <row r="129" spans="2:8">
      <c r="B129" s="75"/>
      <c r="C129" s="76"/>
      <c r="D129" s="76"/>
      <c r="E129" s="77"/>
      <c r="F129" s="26" t="s">
        <v>44</v>
      </c>
      <c r="G129" s="26"/>
      <c r="H129" s="78">
        <f>SUM(H114:H128)</f>
        <v>9000</v>
      </c>
    </row>
    <row r="130" spans="2:8">
      <c r="B130" s="79" t="s">
        <v>45</v>
      </c>
      <c r="C130" s="80"/>
      <c r="E130" s="81"/>
      <c r="F130" s="21" t="s">
        <v>46</v>
      </c>
      <c r="G130" s="82">
        <v>0.09</v>
      </c>
      <c r="H130" s="78">
        <f>SUM(H129*G130)</f>
        <v>810</v>
      </c>
    </row>
    <row r="131" spans="2:8">
      <c r="B131" s="83" t="s">
        <v>47</v>
      </c>
      <c r="C131" s="84"/>
      <c r="E131" s="81"/>
      <c r="F131" s="21" t="s">
        <v>48</v>
      </c>
      <c r="G131" s="82">
        <v>0.09</v>
      </c>
      <c r="H131" s="78">
        <f>SUM(H129*G131)</f>
        <v>810</v>
      </c>
    </row>
    <row r="132" spans="2:8">
      <c r="B132" s="83" t="s">
        <v>49</v>
      </c>
      <c r="C132" s="84"/>
      <c r="E132" s="81"/>
      <c r="F132" s="21" t="s">
        <v>50</v>
      </c>
      <c r="G132" s="82">
        <v>0.18</v>
      </c>
      <c r="H132" s="85" t="s">
        <v>51</v>
      </c>
    </row>
    <row r="133" spans="2:8">
      <c r="B133" s="83" t="s">
        <v>52</v>
      </c>
      <c r="C133" s="84"/>
      <c r="E133" s="81"/>
      <c r="F133" s="86" t="s">
        <v>53</v>
      </c>
      <c r="G133" s="87"/>
      <c r="H133" s="78">
        <f>SUM(H130:H132)</f>
        <v>1620</v>
      </c>
    </row>
    <row r="134" spans="2:8">
      <c r="B134" s="83" t="s">
        <v>54</v>
      </c>
      <c r="C134" s="84"/>
      <c r="E134" s="81"/>
      <c r="F134" s="88" t="s">
        <v>55</v>
      </c>
      <c r="G134" s="88"/>
      <c r="H134" s="89">
        <f>SUM(H129+H133+H136)</f>
        <v>10620</v>
      </c>
    </row>
    <row r="135" spans="2:8">
      <c r="B135" s="90"/>
      <c r="C135" s="91"/>
      <c r="D135" s="91"/>
      <c r="E135" s="92"/>
      <c r="F135" s="93" t="s">
        <v>56</v>
      </c>
      <c r="G135" s="93"/>
      <c r="H135" s="74"/>
    </row>
    <row r="136" customHeight="1" spans="2:8">
      <c r="B136" s="138" t="s">
        <v>196</v>
      </c>
      <c r="C136" s="139"/>
      <c r="D136" s="139"/>
      <c r="E136" s="140"/>
      <c r="F136" s="86" t="s">
        <v>58</v>
      </c>
      <c r="G136" s="87"/>
      <c r="H136" s="74"/>
    </row>
    <row r="137" ht="15.75" spans="2:8">
      <c r="B137" s="141"/>
      <c r="C137" s="142"/>
      <c r="D137" s="142"/>
      <c r="E137" s="143"/>
      <c r="F137" s="144"/>
      <c r="G137" s="145"/>
      <c r="H137" s="40"/>
    </row>
    <row r="138" spans="2:8">
      <c r="B138" s="100" t="s">
        <v>59</v>
      </c>
      <c r="C138" s="101"/>
      <c r="D138" s="101"/>
      <c r="E138" s="102" t="s">
        <v>60</v>
      </c>
      <c r="F138" s="102"/>
      <c r="G138" s="102"/>
      <c r="H138" s="103"/>
    </row>
    <row r="139" ht="18.75" spans="2:8">
      <c r="B139" s="104" t="s">
        <v>61</v>
      </c>
      <c r="E139" s="105" t="s">
        <v>62</v>
      </c>
      <c r="F139" s="105"/>
      <c r="G139" s="105"/>
      <c r="H139" s="106"/>
    </row>
    <row r="140" ht="18.75" spans="2:8">
      <c r="B140" s="108" t="s">
        <v>160</v>
      </c>
      <c r="C140" s="109"/>
      <c r="D140" s="110"/>
      <c r="E140" s="110"/>
      <c r="F140" s="111"/>
      <c r="G140" s="111"/>
      <c r="H140" s="42"/>
    </row>
    <row r="141" spans="2:8">
      <c r="B141" s="112" t="s">
        <v>64</v>
      </c>
      <c r="C141" s="113"/>
      <c r="D141" s="113"/>
      <c r="E141" s="113"/>
      <c r="F141" s="114"/>
      <c r="G141" s="111"/>
      <c r="H141" s="42"/>
    </row>
    <row r="142" spans="2:8">
      <c r="B142" s="112" t="s">
        <v>65</v>
      </c>
      <c r="C142" s="113"/>
      <c r="D142" s="113"/>
      <c r="E142" s="113"/>
      <c r="F142" s="114"/>
      <c r="G142" s="111"/>
      <c r="H142" s="42"/>
    </row>
    <row r="143" spans="2:8">
      <c r="B143" s="41"/>
      <c r="F143" s="111"/>
      <c r="G143" s="111"/>
      <c r="H143" s="42"/>
    </row>
    <row r="144" ht="15.75" spans="2:8">
      <c r="B144" s="115" t="s">
        <v>66</v>
      </c>
      <c r="C144" s="116"/>
      <c r="D144" s="116"/>
      <c r="E144" s="116"/>
      <c r="F144" s="116"/>
      <c r="G144" s="116"/>
      <c r="H144" s="117" t="s">
        <v>67</v>
      </c>
    </row>
  </sheetData>
  <mergeCells count="51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2:C32"/>
    <mergeCell ref="D32:E32"/>
    <mergeCell ref="F37:G37"/>
    <mergeCell ref="F40:G40"/>
    <mergeCell ref="F41:G41"/>
    <mergeCell ref="E42:H42"/>
    <mergeCell ref="E43:H43"/>
    <mergeCell ref="B49:H49"/>
    <mergeCell ref="B50:H50"/>
    <mergeCell ref="B51:H51"/>
    <mergeCell ref="B52:H52"/>
    <mergeCell ref="B53:H53"/>
    <mergeCell ref="B54:H54"/>
    <mergeCell ref="B55:H55"/>
    <mergeCell ref="D56:H56"/>
    <mergeCell ref="G62:H62"/>
    <mergeCell ref="B80:C80"/>
    <mergeCell ref="D80:E80"/>
    <mergeCell ref="F85:G85"/>
    <mergeCell ref="F88:G88"/>
    <mergeCell ref="F89:G89"/>
    <mergeCell ref="E90:H90"/>
    <mergeCell ref="E91:H91"/>
    <mergeCell ref="B97:H97"/>
    <mergeCell ref="B98:H98"/>
    <mergeCell ref="B99:H99"/>
    <mergeCell ref="B100:H100"/>
    <mergeCell ref="B101:H101"/>
    <mergeCell ref="B102:H102"/>
    <mergeCell ref="B103:H103"/>
    <mergeCell ref="D104:H104"/>
    <mergeCell ref="G110:H110"/>
    <mergeCell ref="B128:C128"/>
    <mergeCell ref="D128:E128"/>
    <mergeCell ref="F133:G133"/>
    <mergeCell ref="F136:G136"/>
    <mergeCell ref="F137:G137"/>
    <mergeCell ref="E138:H138"/>
    <mergeCell ref="E139:H139"/>
    <mergeCell ref="B40:E41"/>
    <mergeCell ref="B88:E89"/>
    <mergeCell ref="B136:E137"/>
  </mergeCells>
  <pageMargins left="0.17" right="0.17" top="0.3" bottom="0.88" header="0.17" footer="0.3"/>
  <pageSetup paperSize="9" orientation="portrait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44"/>
  <sheetViews>
    <sheetView topLeftCell="A8" workbookViewId="0">
      <selection activeCell="M23" sqref="M23"/>
    </sheetView>
  </sheetViews>
  <sheetFormatPr defaultColWidth="9" defaultRowHeight="15"/>
  <cols>
    <col min="1" max="1" width="1" customWidth="1"/>
    <col min="2" max="2" width="4.43809523809524" customWidth="1"/>
    <col min="3" max="3" width="41" customWidth="1"/>
    <col min="4" max="4" width="9.66666666666667" customWidth="1"/>
    <col min="5" max="5" width="7.43809523809524" customWidth="1"/>
    <col min="6" max="6" width="16.3333333333333" customWidth="1"/>
    <col min="7" max="7" width="10.4380952380952" customWidth="1"/>
    <col min="8" max="8" width="10.552380952381" customWidth="1"/>
    <col min="9" max="9" width="0.666666666666667" customWidth="1"/>
  </cols>
  <sheetData>
    <row r="1" ht="15.75" spans="2:15">
      <c r="B1" s="1" t="s">
        <v>0</v>
      </c>
      <c r="C1" s="1"/>
      <c r="D1" s="1"/>
      <c r="E1" s="1"/>
      <c r="F1" s="1"/>
      <c r="G1" s="1"/>
      <c r="H1" s="1"/>
    </row>
    <row r="2" ht="21" spans="2:15">
      <c r="B2" s="2" t="s">
        <v>1</v>
      </c>
      <c r="C2" s="3"/>
      <c r="D2" s="3"/>
      <c r="E2" s="3"/>
      <c r="F2" s="3"/>
      <c r="G2" s="3"/>
      <c r="H2" s="4"/>
    </row>
    <row r="3" ht="28.5" spans="2:15">
      <c r="B3" s="5" t="s">
        <v>2</v>
      </c>
      <c r="C3" s="6"/>
      <c r="D3" s="6"/>
      <c r="E3" s="6"/>
      <c r="F3" s="6"/>
      <c r="G3" s="6"/>
      <c r="H3" s="7"/>
    </row>
    <row r="4" spans="2:15">
      <c r="B4" s="8" t="s">
        <v>3</v>
      </c>
      <c r="C4" s="9"/>
      <c r="D4" s="9"/>
      <c r="E4" s="9"/>
      <c r="F4" s="9"/>
      <c r="G4" s="9"/>
      <c r="H4" s="10"/>
    </row>
    <row r="5" ht="21.75" spans="2:15">
      <c r="B5" s="11" t="s">
        <v>4</v>
      </c>
      <c r="C5" s="12"/>
      <c r="D5" s="12"/>
      <c r="E5" s="12"/>
      <c r="F5" s="12"/>
      <c r="G5" s="12"/>
      <c r="H5" s="13"/>
    </row>
    <row r="6" spans="2:15">
      <c r="B6" s="14" t="s">
        <v>5</v>
      </c>
      <c r="C6" s="15"/>
      <c r="D6" s="15"/>
      <c r="E6" s="15"/>
      <c r="F6" s="15"/>
      <c r="G6" s="15"/>
      <c r="H6" s="16"/>
    </row>
    <row r="7" spans="2:15">
      <c r="B7" s="17" t="s">
        <v>6</v>
      </c>
      <c r="C7" s="18"/>
      <c r="D7" s="18"/>
      <c r="E7" s="18"/>
      <c r="F7" s="18"/>
      <c r="G7" s="18"/>
      <c r="H7" s="19"/>
    </row>
    <row r="8" ht="15.75" customHeight="1" spans="2:15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15">
      <c r="B9" s="25" t="s">
        <v>9</v>
      </c>
      <c r="C9" s="21"/>
      <c r="D9" s="26" t="s">
        <v>10</v>
      </c>
      <c r="E9" s="26"/>
      <c r="F9" s="21" t="s">
        <v>197</v>
      </c>
      <c r="G9" s="31" t="s">
        <v>12</v>
      </c>
      <c r="H9" s="29">
        <v>46293</v>
      </c>
      <c r="O9" t="s">
        <v>37</v>
      </c>
    </row>
    <row r="10" spans="2:15">
      <c r="B10" s="20" t="s">
        <v>13</v>
      </c>
      <c r="C10" s="21"/>
      <c r="D10" s="26" t="s">
        <v>14</v>
      </c>
      <c r="E10" s="26"/>
      <c r="F10" s="21" t="s">
        <v>197</v>
      </c>
      <c r="G10" s="31" t="s">
        <v>12</v>
      </c>
      <c r="H10" s="29">
        <v>46293</v>
      </c>
    </row>
    <row r="11" spans="2:15">
      <c r="B11" s="20" t="s">
        <v>15</v>
      </c>
      <c r="C11" s="21"/>
      <c r="D11" s="26" t="s">
        <v>16</v>
      </c>
      <c r="E11" s="26"/>
      <c r="F11" s="121" t="s">
        <v>198</v>
      </c>
      <c r="G11" s="31" t="s">
        <v>12</v>
      </c>
      <c r="H11" s="29">
        <v>46253</v>
      </c>
    </row>
    <row r="12" spans="2:15">
      <c r="B12" s="20" t="s">
        <v>17</v>
      </c>
      <c r="C12" s="21"/>
      <c r="D12" s="26" t="s">
        <v>152</v>
      </c>
      <c r="E12" s="26"/>
      <c r="F12" s="122" t="s">
        <v>199</v>
      </c>
      <c r="G12" s="31" t="s">
        <v>12</v>
      </c>
      <c r="H12" s="29">
        <v>46292</v>
      </c>
    </row>
    <row r="13" spans="2:15">
      <c r="B13" s="20" t="s">
        <v>20</v>
      </c>
      <c r="C13" s="21"/>
      <c r="D13" s="26" t="s">
        <v>21</v>
      </c>
      <c r="E13" s="26"/>
      <c r="F13" s="21" t="s">
        <v>154</v>
      </c>
      <c r="G13" s="123" t="s">
        <v>12</v>
      </c>
      <c r="H13" s="124"/>
    </row>
    <row r="14" spans="2:15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15">
      <c r="B15" s="37" t="s">
        <v>26</v>
      </c>
      <c r="C15" s="38"/>
      <c r="D15" s="38" t="s">
        <v>27</v>
      </c>
      <c r="E15" s="38"/>
      <c r="F15" s="38" t="s">
        <v>28</v>
      </c>
      <c r="G15" s="39" t="s">
        <v>106</v>
      </c>
      <c r="H15" s="40"/>
      <c r="L15" t="s">
        <v>37</v>
      </c>
    </row>
    <row r="16" ht="3.75" customHeight="1"/>
    <row r="17" ht="30.75" spans="2:16">
      <c r="B17" s="125" t="s">
        <v>30</v>
      </c>
      <c r="C17" s="126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P17" t="s">
        <v>155</v>
      </c>
    </row>
    <row r="18" customHeight="1" spans="2:16">
      <c r="B18" s="127">
        <v>1</v>
      </c>
      <c r="C18" s="48" t="s">
        <v>164</v>
      </c>
      <c r="D18" s="128">
        <v>82073000</v>
      </c>
      <c r="E18" s="129" t="s">
        <v>39</v>
      </c>
      <c r="F18" s="130">
        <v>1</v>
      </c>
      <c r="G18" s="131">
        <v>5328</v>
      </c>
      <c r="H18" s="132">
        <f>SUM(F18*G18)</f>
        <v>5328</v>
      </c>
    </row>
    <row r="19" customHeight="1" spans="2:16">
      <c r="B19" s="62"/>
      <c r="C19" s="55" t="s">
        <v>200</v>
      </c>
      <c r="D19" s="128"/>
      <c r="E19" s="129"/>
      <c r="F19" s="130"/>
      <c r="G19" s="131"/>
      <c r="H19" s="132"/>
    </row>
    <row r="20" spans="2:16">
      <c r="B20" s="127"/>
      <c r="C20" s="133"/>
      <c r="D20" s="128"/>
      <c r="E20" s="129"/>
      <c r="F20" s="130"/>
      <c r="G20" s="131"/>
      <c r="H20" s="132"/>
    </row>
    <row r="21" spans="2:16">
      <c r="B21" s="62"/>
      <c r="C21" s="134"/>
      <c r="D21" s="128"/>
      <c r="E21" s="129"/>
      <c r="F21" s="130"/>
      <c r="G21" s="131"/>
      <c r="H21" s="132"/>
    </row>
    <row r="22" spans="2:16">
      <c r="B22" s="62"/>
      <c r="C22" s="134"/>
      <c r="D22" s="128"/>
      <c r="E22" s="129"/>
      <c r="F22" s="130"/>
      <c r="G22" s="131"/>
      <c r="H22" s="132"/>
    </row>
    <row r="23" spans="2:16">
      <c r="B23" s="127"/>
      <c r="C23" s="134"/>
      <c r="D23" s="128"/>
      <c r="E23" s="129"/>
      <c r="F23" s="130"/>
      <c r="G23" s="135"/>
      <c r="H23" s="132"/>
    </row>
    <row r="24" spans="2:16">
      <c r="B24" s="62"/>
      <c r="C24" s="134"/>
      <c r="D24" s="128"/>
      <c r="E24" s="129"/>
      <c r="F24" s="130"/>
      <c r="G24" s="131"/>
      <c r="H24" s="132"/>
    </row>
    <row r="25" spans="2:16">
      <c r="B25" s="62"/>
      <c r="C25" s="134"/>
      <c r="D25" s="128"/>
      <c r="E25" s="129"/>
      <c r="F25" s="130"/>
      <c r="G25" s="70"/>
      <c r="H25" s="132"/>
      <c r="O25" t="s">
        <v>37</v>
      </c>
    </row>
    <row r="26" spans="2:16">
      <c r="B26" s="62"/>
      <c r="C26" s="134"/>
      <c r="D26" s="128"/>
      <c r="E26" s="129"/>
      <c r="F26" s="130"/>
      <c r="G26" s="131"/>
      <c r="H26" s="132"/>
    </row>
    <row r="27" spans="2:16">
      <c r="B27" s="62"/>
      <c r="C27" s="121"/>
      <c r="D27" s="128"/>
      <c r="E27" s="129"/>
      <c r="F27" s="130"/>
      <c r="G27" s="70"/>
      <c r="H27" s="132"/>
    </row>
    <row r="28" spans="2:16">
      <c r="B28" s="62"/>
      <c r="C28" s="121"/>
      <c r="D28" s="27"/>
      <c r="E28" s="27"/>
      <c r="F28" s="66"/>
      <c r="G28" s="70"/>
      <c r="H28" s="132"/>
    </row>
    <row r="29" spans="2:16">
      <c r="B29" s="62"/>
      <c r="C29" s="121"/>
      <c r="D29" s="128"/>
      <c r="E29" s="129"/>
      <c r="F29" s="130"/>
      <c r="G29" s="21"/>
      <c r="H29" s="74"/>
    </row>
    <row r="30" spans="2:16">
      <c r="B30" s="54"/>
      <c r="C30" s="121"/>
      <c r="D30" s="128"/>
      <c r="E30" s="129"/>
      <c r="F30" s="130"/>
      <c r="G30" s="70"/>
      <c r="H30" s="132"/>
    </row>
    <row r="31" spans="2:16">
      <c r="B31" s="20"/>
      <c r="C31" s="121"/>
      <c r="D31" s="21"/>
      <c r="E31" s="21"/>
      <c r="F31" s="66"/>
      <c r="G31" s="21"/>
      <c r="H31" s="74"/>
    </row>
    <row r="32" ht="21" spans="2:16">
      <c r="B32" s="136" t="s">
        <v>158</v>
      </c>
      <c r="C32" s="137"/>
      <c r="D32" s="66" t="s">
        <v>43</v>
      </c>
      <c r="E32" s="73"/>
      <c r="F32" s="27">
        <f>SUM(F18:F31)</f>
        <v>1</v>
      </c>
      <c r="G32" s="21"/>
      <c r="H32" s="74"/>
    </row>
    <row r="33" spans="2:9">
      <c r="B33" s="75"/>
      <c r="C33" s="76"/>
      <c r="D33" s="76"/>
      <c r="E33" s="77"/>
      <c r="F33" s="26" t="s">
        <v>44</v>
      </c>
      <c r="G33" s="26"/>
      <c r="H33" s="78">
        <f>SUM(H18:H32)</f>
        <v>5328</v>
      </c>
    </row>
    <row r="34" spans="2:9">
      <c r="B34" s="79" t="s">
        <v>45</v>
      </c>
      <c r="C34" s="80"/>
      <c r="E34" s="81"/>
      <c r="F34" s="21" t="s">
        <v>46</v>
      </c>
      <c r="G34" s="82">
        <v>0.09</v>
      </c>
      <c r="H34" s="78">
        <f>SUM(H33*G34)</f>
        <v>479.52</v>
      </c>
    </row>
    <row r="35" spans="2:9">
      <c r="B35" s="83" t="s">
        <v>47</v>
      </c>
      <c r="C35" s="84"/>
      <c r="E35" s="81"/>
      <c r="F35" s="21" t="s">
        <v>48</v>
      </c>
      <c r="G35" s="82">
        <v>0.09</v>
      </c>
      <c r="H35" s="78">
        <f>SUM(H33*G35)</f>
        <v>479.52</v>
      </c>
    </row>
    <row r="36" spans="2:9">
      <c r="B36" s="83" t="s">
        <v>49</v>
      </c>
      <c r="C36" s="84"/>
      <c r="E36" s="81"/>
      <c r="F36" s="21" t="s">
        <v>50</v>
      </c>
      <c r="G36" s="82">
        <v>0.18</v>
      </c>
      <c r="H36" s="85" t="s">
        <v>51</v>
      </c>
    </row>
    <row r="37" spans="2:9">
      <c r="B37" s="83" t="s">
        <v>52</v>
      </c>
      <c r="C37" s="84"/>
      <c r="E37" s="81"/>
      <c r="F37" s="86" t="s">
        <v>53</v>
      </c>
      <c r="G37" s="87"/>
      <c r="H37" s="78">
        <f>SUM(H34:H36)</f>
        <v>959.04</v>
      </c>
    </row>
    <row r="38" spans="2:9">
      <c r="B38" s="83" t="s">
        <v>54</v>
      </c>
      <c r="C38" s="84"/>
      <c r="E38" s="81"/>
      <c r="F38" s="88" t="s">
        <v>55</v>
      </c>
      <c r="G38" s="88"/>
      <c r="H38" s="89">
        <f>SUM(H33+H37+H40)</f>
        <v>6287</v>
      </c>
    </row>
    <row r="39" spans="2:9">
      <c r="B39" s="90"/>
      <c r="C39" s="91"/>
      <c r="D39" s="91"/>
      <c r="E39" s="92"/>
      <c r="F39" s="93" t="s">
        <v>56</v>
      </c>
      <c r="G39" s="93"/>
      <c r="H39" s="74"/>
    </row>
    <row r="40" ht="14.4" customHeight="1" spans="2:9">
      <c r="B40" s="138" t="s">
        <v>166</v>
      </c>
      <c r="C40" s="139"/>
      <c r="D40" s="139"/>
      <c r="E40" s="140"/>
      <c r="F40" s="86" t="s">
        <v>58</v>
      </c>
      <c r="G40" s="87"/>
      <c r="H40" s="74">
        <v>-0.04</v>
      </c>
    </row>
    <row r="41" ht="15.75" spans="2:9">
      <c r="B41" s="141"/>
      <c r="C41" s="142"/>
      <c r="D41" s="142"/>
      <c r="E41" s="143"/>
      <c r="F41" s="144"/>
      <c r="G41" s="145"/>
      <c r="H41" s="40"/>
    </row>
    <row r="42" spans="2:9">
      <c r="B42" s="100" t="s">
        <v>59</v>
      </c>
      <c r="C42" s="101"/>
      <c r="D42" s="101"/>
      <c r="E42" s="102" t="s">
        <v>60</v>
      </c>
      <c r="F42" s="102"/>
      <c r="G42" s="102"/>
      <c r="H42" s="103"/>
      <c r="I42" s="107"/>
    </row>
    <row r="43" ht="18.75" spans="2:9">
      <c r="B43" s="104" t="s">
        <v>61</v>
      </c>
      <c r="E43" s="105" t="s">
        <v>62</v>
      </c>
      <c r="F43" s="105"/>
      <c r="G43" s="105"/>
      <c r="H43" s="106"/>
    </row>
    <row r="44" ht="18.75" spans="2:9">
      <c r="B44" s="108" t="s">
        <v>160</v>
      </c>
      <c r="C44" s="109"/>
      <c r="D44" s="110"/>
      <c r="E44" s="110"/>
      <c r="F44" s="111"/>
      <c r="G44" s="111"/>
      <c r="H44" s="42"/>
    </row>
    <row r="45" spans="2:9">
      <c r="B45" s="112" t="s">
        <v>64</v>
      </c>
      <c r="C45" s="113"/>
      <c r="D45" s="113"/>
      <c r="E45" s="113"/>
      <c r="F45" s="114"/>
      <c r="G45" s="111"/>
      <c r="H45" s="42"/>
    </row>
    <row r="46" spans="2:9">
      <c r="B46" s="112" t="s">
        <v>65</v>
      </c>
      <c r="C46" s="113"/>
      <c r="D46" s="113"/>
      <c r="E46" s="113"/>
      <c r="F46" s="114"/>
      <c r="G46" s="111"/>
      <c r="H46" s="42"/>
    </row>
    <row r="47" spans="2:9">
      <c r="B47" s="41"/>
      <c r="F47" s="111"/>
      <c r="G47" s="111"/>
      <c r="H47" s="42"/>
    </row>
    <row r="48" ht="15.75" spans="2:9">
      <c r="B48" s="115" t="s">
        <v>66</v>
      </c>
      <c r="C48" s="116"/>
      <c r="D48" s="116"/>
      <c r="E48" s="116"/>
      <c r="F48" s="116"/>
      <c r="G48" s="116"/>
      <c r="H48" s="117" t="s">
        <v>67</v>
      </c>
    </row>
    <row r="49" ht="15.75" spans="2:8">
      <c r="B49" s="1" t="s">
        <v>68</v>
      </c>
      <c r="C49" s="1"/>
      <c r="D49" s="1"/>
      <c r="E49" s="1"/>
      <c r="F49" s="1"/>
      <c r="G49" s="1"/>
      <c r="H49" s="1"/>
    </row>
    <row r="50" ht="21" spans="2:8">
      <c r="B50" s="2" t="s">
        <v>1</v>
      </c>
      <c r="C50" s="3"/>
      <c r="D50" s="3"/>
      <c r="E50" s="3"/>
      <c r="F50" s="3"/>
      <c r="G50" s="3"/>
      <c r="H50" s="4"/>
    </row>
    <row r="51" ht="28.5" spans="2:8">
      <c r="B51" s="5" t="s">
        <v>2</v>
      </c>
      <c r="C51" s="6"/>
      <c r="D51" s="6"/>
      <c r="E51" s="6"/>
      <c r="F51" s="6"/>
      <c r="G51" s="6"/>
      <c r="H51" s="7"/>
    </row>
    <row r="52" spans="2:8">
      <c r="B52" s="8" t="s">
        <v>3</v>
      </c>
      <c r="C52" s="9"/>
      <c r="D52" s="9"/>
      <c r="E52" s="9"/>
      <c r="F52" s="9"/>
      <c r="G52" s="9"/>
      <c r="H52" s="10"/>
    </row>
    <row r="53" ht="21.75" spans="2:8">
      <c r="B53" s="11" t="s">
        <v>4</v>
      </c>
      <c r="C53" s="12"/>
      <c r="D53" s="12"/>
      <c r="E53" s="12"/>
      <c r="F53" s="12"/>
      <c r="G53" s="12"/>
      <c r="H53" s="13"/>
    </row>
    <row r="54" spans="2:8">
      <c r="B54" s="14" t="s">
        <v>5</v>
      </c>
      <c r="C54" s="15"/>
      <c r="D54" s="15"/>
      <c r="E54" s="15"/>
      <c r="F54" s="15"/>
      <c r="G54" s="15"/>
      <c r="H54" s="16"/>
    </row>
    <row r="55" spans="2:8">
      <c r="B55" s="17" t="s">
        <v>6</v>
      </c>
      <c r="C55" s="18"/>
      <c r="D55" s="18"/>
      <c r="E55" s="18"/>
      <c r="F55" s="18"/>
      <c r="G55" s="18"/>
      <c r="H55" s="19"/>
    </row>
    <row r="56" ht="15.75" customHeight="1" spans="2:8">
      <c r="B56" s="20" t="s">
        <v>7</v>
      </c>
      <c r="C56" s="21"/>
      <c r="D56" s="22" t="s">
        <v>8</v>
      </c>
      <c r="E56" s="23"/>
      <c r="F56" s="23"/>
      <c r="G56" s="23"/>
      <c r="H56" s="24"/>
    </row>
    <row r="57" ht="21" spans="2:8">
      <c r="B57" s="25" t="s">
        <v>9</v>
      </c>
      <c r="C57" s="21"/>
      <c r="D57" s="26" t="s">
        <v>10</v>
      </c>
      <c r="E57" s="26"/>
      <c r="F57" s="21" t="s">
        <v>197</v>
      </c>
      <c r="G57" s="31" t="s">
        <v>12</v>
      </c>
      <c r="H57" s="29">
        <v>46293</v>
      </c>
    </row>
    <row r="58" spans="2:8">
      <c r="B58" s="20" t="s">
        <v>13</v>
      </c>
      <c r="C58" s="21"/>
      <c r="D58" s="26" t="s">
        <v>14</v>
      </c>
      <c r="E58" s="26"/>
      <c r="F58" s="21" t="s">
        <v>197</v>
      </c>
      <c r="G58" s="31" t="s">
        <v>12</v>
      </c>
      <c r="H58" s="29">
        <v>46293</v>
      </c>
    </row>
    <row r="59" spans="2:8">
      <c r="B59" s="20" t="s">
        <v>15</v>
      </c>
      <c r="C59" s="21"/>
      <c r="D59" s="26" t="s">
        <v>16</v>
      </c>
      <c r="E59" s="26"/>
      <c r="F59" s="121" t="s">
        <v>198</v>
      </c>
      <c r="G59" s="31" t="s">
        <v>12</v>
      </c>
      <c r="H59" s="29">
        <v>46253</v>
      </c>
    </row>
    <row r="60" spans="2:8">
      <c r="B60" s="20" t="s">
        <v>17</v>
      </c>
      <c r="C60" s="21"/>
      <c r="D60" s="26" t="s">
        <v>152</v>
      </c>
      <c r="E60" s="26"/>
      <c r="F60" s="122" t="s">
        <v>199</v>
      </c>
      <c r="G60" s="31" t="s">
        <v>12</v>
      </c>
      <c r="H60" s="29">
        <v>46292</v>
      </c>
    </row>
    <row r="61" spans="2:8">
      <c r="B61" s="20" t="s">
        <v>20</v>
      </c>
      <c r="C61" s="21"/>
      <c r="D61" s="26" t="s">
        <v>21</v>
      </c>
      <c r="E61" s="26"/>
      <c r="F61" s="21" t="s">
        <v>154</v>
      </c>
      <c r="G61" s="123" t="s">
        <v>12</v>
      </c>
      <c r="H61" s="124"/>
    </row>
    <row r="62" spans="2:8">
      <c r="B62" s="35" t="s">
        <v>22</v>
      </c>
      <c r="C62" s="26"/>
      <c r="D62" s="26" t="s">
        <v>23</v>
      </c>
      <c r="E62" s="26"/>
      <c r="F62" s="21" t="s">
        <v>24</v>
      </c>
      <c r="G62" s="28" t="s">
        <v>25</v>
      </c>
      <c r="H62" s="36"/>
    </row>
    <row r="63" ht="15.75" spans="2:8">
      <c r="B63" s="37" t="s">
        <v>26</v>
      </c>
      <c r="C63" s="38"/>
      <c r="D63" s="38" t="s">
        <v>27</v>
      </c>
      <c r="E63" s="38"/>
      <c r="F63" s="38" t="s">
        <v>28</v>
      </c>
      <c r="G63" s="39" t="s">
        <v>106</v>
      </c>
      <c r="H63" s="40"/>
    </row>
    <row r="64" ht="4.5" customHeight="1"/>
    <row r="65" ht="30.75" spans="2:8">
      <c r="B65" s="125" t="s">
        <v>30</v>
      </c>
      <c r="C65" s="126" t="s">
        <v>31</v>
      </c>
      <c r="D65" s="45" t="s">
        <v>32</v>
      </c>
      <c r="E65" s="44" t="s">
        <v>33</v>
      </c>
      <c r="F65" s="44" t="s">
        <v>34</v>
      </c>
      <c r="G65" s="44" t="s">
        <v>35</v>
      </c>
      <c r="H65" s="46" t="s">
        <v>36</v>
      </c>
    </row>
    <row r="66" customHeight="1" spans="2:8">
      <c r="B66" s="127">
        <v>1</v>
      </c>
      <c r="C66" s="48" t="s">
        <v>164</v>
      </c>
      <c r="D66" s="128">
        <v>82073000</v>
      </c>
      <c r="E66" s="129" t="s">
        <v>39</v>
      </c>
      <c r="F66" s="130">
        <v>1</v>
      </c>
      <c r="G66" s="131">
        <v>5328</v>
      </c>
      <c r="H66" s="132">
        <f>SUM(F66*G66)</f>
        <v>5328</v>
      </c>
    </row>
    <row r="67" spans="2:8">
      <c r="B67" s="62"/>
      <c r="C67" s="55" t="s">
        <v>200</v>
      </c>
      <c r="D67" s="128"/>
      <c r="E67" s="129"/>
      <c r="F67" s="130"/>
      <c r="G67" s="131"/>
      <c r="H67" s="132"/>
    </row>
    <row r="68" spans="2:8">
      <c r="B68" s="127"/>
      <c r="C68" s="133"/>
      <c r="D68" s="128"/>
      <c r="E68" s="129"/>
      <c r="F68" s="130"/>
      <c r="G68" s="131"/>
      <c r="H68" s="132"/>
    </row>
    <row r="69" spans="2:8">
      <c r="B69" s="62"/>
      <c r="C69" s="134"/>
      <c r="D69" s="128"/>
      <c r="E69" s="129"/>
      <c r="F69" s="130"/>
      <c r="G69" s="131"/>
      <c r="H69" s="132"/>
    </row>
    <row r="70" spans="2:8">
      <c r="B70" s="62"/>
      <c r="C70" s="134"/>
      <c r="D70" s="128"/>
      <c r="E70" s="129"/>
      <c r="F70" s="130"/>
      <c r="G70" s="131"/>
      <c r="H70" s="132"/>
    </row>
    <row r="71" spans="2:8">
      <c r="B71" s="127"/>
      <c r="C71" s="134"/>
      <c r="D71" s="128"/>
      <c r="E71" s="129"/>
      <c r="F71" s="130"/>
      <c r="G71" s="135"/>
      <c r="H71" s="132"/>
    </row>
    <row r="72" spans="2:8">
      <c r="B72" s="62"/>
      <c r="C72" s="134"/>
      <c r="D72" s="128"/>
      <c r="E72" s="129"/>
      <c r="F72" s="130"/>
      <c r="G72" s="131"/>
      <c r="H72" s="132"/>
    </row>
    <row r="73" spans="2:8">
      <c r="B73" s="62"/>
      <c r="C73" s="134"/>
      <c r="D73" s="128"/>
      <c r="E73" s="129"/>
      <c r="F73" s="130"/>
      <c r="G73" s="70"/>
      <c r="H73" s="132"/>
    </row>
    <row r="74" spans="2:8">
      <c r="B74" s="62"/>
      <c r="C74" s="134"/>
      <c r="D74" s="128"/>
      <c r="E74" s="129"/>
      <c r="F74" s="130"/>
      <c r="G74" s="131"/>
      <c r="H74" s="132"/>
    </row>
    <row r="75" spans="2:8">
      <c r="B75" s="62"/>
      <c r="C75" s="121"/>
      <c r="D75" s="128"/>
      <c r="E75" s="129"/>
      <c r="F75" s="130"/>
      <c r="G75" s="70"/>
      <c r="H75" s="132"/>
    </row>
    <row r="76" spans="2:8">
      <c r="B76" s="62"/>
      <c r="C76" s="121"/>
      <c r="D76" s="27"/>
      <c r="E76" s="27"/>
      <c r="F76" s="66"/>
      <c r="G76" s="70"/>
      <c r="H76" s="132"/>
    </row>
    <row r="77" spans="2:8">
      <c r="B77" s="62"/>
      <c r="C77" s="121"/>
      <c r="D77" s="128"/>
      <c r="E77" s="129"/>
      <c r="F77" s="130"/>
      <c r="G77" s="21"/>
      <c r="H77" s="74"/>
    </row>
    <row r="78" spans="2:8">
      <c r="B78" s="54"/>
      <c r="C78" s="121"/>
      <c r="D78" s="128"/>
      <c r="E78" s="129"/>
      <c r="F78" s="130"/>
      <c r="G78" s="70"/>
      <c r="H78" s="132"/>
    </row>
    <row r="79" spans="2:8">
      <c r="B79" s="20"/>
      <c r="C79" s="121"/>
      <c r="D79" s="21"/>
      <c r="E79" s="21"/>
      <c r="F79" s="66"/>
      <c r="G79" s="21"/>
      <c r="H79" s="74"/>
    </row>
    <row r="80" ht="21" spans="2:8">
      <c r="B80" s="136" t="s">
        <v>158</v>
      </c>
      <c r="C80" s="137"/>
      <c r="D80" s="66" t="s">
        <v>43</v>
      </c>
      <c r="E80" s="73"/>
      <c r="F80" s="27">
        <f>SUM(F66:F79)</f>
        <v>1</v>
      </c>
      <c r="G80" s="21"/>
      <c r="H80" s="74"/>
    </row>
    <row r="81" spans="2:8">
      <c r="B81" s="75"/>
      <c r="C81" s="76"/>
      <c r="D81" s="76"/>
      <c r="E81" s="77"/>
      <c r="F81" s="26" t="s">
        <v>44</v>
      </c>
      <c r="G81" s="26"/>
      <c r="H81" s="78">
        <f>SUM(H66:H80)</f>
        <v>5328</v>
      </c>
    </row>
    <row r="82" spans="2:8">
      <c r="B82" s="79" t="s">
        <v>45</v>
      </c>
      <c r="C82" s="80"/>
      <c r="E82" s="81"/>
      <c r="F82" s="21" t="s">
        <v>46</v>
      </c>
      <c r="G82" s="82">
        <v>0.09</v>
      </c>
      <c r="H82" s="78">
        <f>SUM(H81*G82)</f>
        <v>479.52</v>
      </c>
    </row>
    <row r="83" spans="2:8">
      <c r="B83" s="83" t="s">
        <v>47</v>
      </c>
      <c r="C83" s="84"/>
      <c r="E83" s="81"/>
      <c r="F83" s="21" t="s">
        <v>48</v>
      </c>
      <c r="G83" s="82">
        <v>0.09</v>
      </c>
      <c r="H83" s="78">
        <f>SUM(H81*G83)</f>
        <v>479.52</v>
      </c>
    </row>
    <row r="84" spans="2:8">
      <c r="B84" s="83" t="s">
        <v>49</v>
      </c>
      <c r="C84" s="84"/>
      <c r="E84" s="81"/>
      <c r="F84" s="21" t="s">
        <v>50</v>
      </c>
      <c r="G84" s="82">
        <v>0.18</v>
      </c>
      <c r="H84" s="85" t="s">
        <v>51</v>
      </c>
    </row>
    <row r="85" spans="2:8">
      <c r="B85" s="83" t="s">
        <v>52</v>
      </c>
      <c r="C85" s="84"/>
      <c r="E85" s="81"/>
      <c r="F85" s="86" t="s">
        <v>53</v>
      </c>
      <c r="G85" s="87"/>
      <c r="H85" s="78">
        <f>SUM(H82:H84)</f>
        <v>959.04</v>
      </c>
    </row>
    <row r="86" spans="2:8">
      <c r="B86" s="83" t="s">
        <v>54</v>
      </c>
      <c r="C86" s="84"/>
      <c r="E86" s="81"/>
      <c r="F86" s="88" t="s">
        <v>55</v>
      </c>
      <c r="G86" s="88"/>
      <c r="H86" s="89">
        <f>SUM(H81+H85+H88)</f>
        <v>6287</v>
      </c>
    </row>
    <row r="87" spans="2:8">
      <c r="B87" s="90"/>
      <c r="C87" s="91"/>
      <c r="D87" s="91"/>
      <c r="E87" s="92"/>
      <c r="F87" s="93" t="s">
        <v>56</v>
      </c>
      <c r="G87" s="93"/>
      <c r="H87" s="74"/>
    </row>
    <row r="88" customHeight="1" spans="2:8">
      <c r="B88" s="138" t="s">
        <v>166</v>
      </c>
      <c r="C88" s="139"/>
      <c r="D88" s="139"/>
      <c r="E88" s="140"/>
      <c r="F88" s="86" t="s">
        <v>58</v>
      </c>
      <c r="G88" s="87"/>
      <c r="H88" s="74">
        <v>-0.04</v>
      </c>
    </row>
    <row r="89" ht="15.75" spans="2:8">
      <c r="B89" s="141"/>
      <c r="C89" s="142"/>
      <c r="D89" s="142"/>
      <c r="E89" s="143"/>
      <c r="F89" s="144"/>
      <c r="G89" s="145"/>
      <c r="H89" s="40"/>
    </row>
    <row r="90" spans="2:8">
      <c r="B90" s="100" t="s">
        <v>59</v>
      </c>
      <c r="C90" s="101"/>
      <c r="D90" s="101"/>
      <c r="E90" s="102" t="s">
        <v>60</v>
      </c>
      <c r="F90" s="102"/>
      <c r="G90" s="102"/>
      <c r="H90" s="103"/>
    </row>
    <row r="91" ht="18.75" spans="2:8">
      <c r="B91" s="104" t="s">
        <v>61</v>
      </c>
      <c r="E91" s="105" t="s">
        <v>62</v>
      </c>
      <c r="F91" s="105"/>
      <c r="G91" s="105"/>
      <c r="H91" s="106"/>
    </row>
    <row r="92" ht="18.75" spans="2:8">
      <c r="B92" s="108" t="s">
        <v>160</v>
      </c>
      <c r="C92" s="109"/>
      <c r="D92" s="110"/>
      <c r="E92" s="110"/>
      <c r="F92" s="111"/>
      <c r="G92" s="111"/>
      <c r="H92" s="42"/>
    </row>
    <row r="93" spans="2:8">
      <c r="B93" s="112" t="s">
        <v>64</v>
      </c>
      <c r="C93" s="113"/>
      <c r="D93" s="113"/>
      <c r="E93" s="113"/>
      <c r="F93" s="114"/>
      <c r="G93" s="111"/>
      <c r="H93" s="42"/>
    </row>
    <row r="94" spans="2:8">
      <c r="B94" s="112" t="s">
        <v>65</v>
      </c>
      <c r="C94" s="113"/>
      <c r="D94" s="113"/>
      <c r="E94" s="113"/>
      <c r="F94" s="114"/>
      <c r="G94" s="111"/>
      <c r="H94" s="42"/>
    </row>
    <row r="95" ht="15.75" customHeight="1" spans="2:8">
      <c r="B95" s="41"/>
      <c r="F95" s="111"/>
      <c r="G95" s="111"/>
      <c r="H95" s="42"/>
    </row>
    <row r="96" ht="15.75" spans="2:8">
      <c r="B96" s="115" t="s">
        <v>66</v>
      </c>
      <c r="C96" s="116"/>
      <c r="D96" s="116"/>
      <c r="E96" s="116"/>
      <c r="F96" s="116"/>
      <c r="G96" s="116"/>
      <c r="H96" s="117" t="s">
        <v>67</v>
      </c>
    </row>
    <row r="97" ht="18.75" customHeight="1" spans="2:8">
      <c r="B97" s="1" t="s">
        <v>69</v>
      </c>
      <c r="C97" s="1"/>
      <c r="D97" s="1"/>
      <c r="E97" s="1"/>
      <c r="F97" s="1"/>
      <c r="G97" s="1"/>
      <c r="H97" s="1"/>
    </row>
    <row r="98" ht="21" spans="2:8">
      <c r="B98" s="2" t="s">
        <v>1</v>
      </c>
      <c r="C98" s="3"/>
      <c r="D98" s="3"/>
      <c r="E98" s="3"/>
      <c r="F98" s="3"/>
      <c r="G98" s="3"/>
      <c r="H98" s="4"/>
    </row>
    <row r="99" ht="28.5" spans="2:8">
      <c r="B99" s="5" t="s">
        <v>2</v>
      </c>
      <c r="C99" s="6"/>
      <c r="D99" s="6"/>
      <c r="E99" s="6"/>
      <c r="F99" s="6"/>
      <c r="G99" s="6"/>
      <c r="H99" s="7"/>
    </row>
    <row r="100" spans="2:8">
      <c r="B100" s="8" t="s">
        <v>3</v>
      </c>
      <c r="C100" s="9"/>
      <c r="D100" s="9"/>
      <c r="E100" s="9"/>
      <c r="F100" s="9"/>
      <c r="G100" s="9"/>
      <c r="H100" s="10"/>
    </row>
    <row r="101" ht="21.75" spans="2:8">
      <c r="B101" s="11" t="s">
        <v>4</v>
      </c>
      <c r="C101" s="12"/>
      <c r="D101" s="12"/>
      <c r="E101" s="12"/>
      <c r="F101" s="12"/>
      <c r="G101" s="12"/>
      <c r="H101" s="13"/>
    </row>
    <row r="102" spans="2:8">
      <c r="B102" s="14" t="s">
        <v>5</v>
      </c>
      <c r="C102" s="15"/>
      <c r="D102" s="15"/>
      <c r="E102" s="15"/>
      <c r="F102" s="15"/>
      <c r="G102" s="15"/>
      <c r="H102" s="16"/>
    </row>
    <row r="103" spans="2:8">
      <c r="B103" s="17" t="s">
        <v>6</v>
      </c>
      <c r="C103" s="18"/>
      <c r="D103" s="18"/>
      <c r="E103" s="18"/>
      <c r="F103" s="18"/>
      <c r="G103" s="18"/>
      <c r="H103" s="19"/>
    </row>
    <row r="104" ht="15.75" customHeight="1" spans="2:8">
      <c r="B104" s="20" t="s">
        <v>7</v>
      </c>
      <c r="C104" s="21"/>
      <c r="D104" s="22" t="s">
        <v>8</v>
      </c>
      <c r="E104" s="23"/>
      <c r="F104" s="23"/>
      <c r="G104" s="23"/>
      <c r="H104" s="24"/>
    </row>
    <row r="105" ht="21" spans="2:8">
      <c r="B105" s="25" t="s">
        <v>9</v>
      </c>
      <c r="C105" s="21"/>
      <c r="D105" s="26" t="s">
        <v>10</v>
      </c>
      <c r="E105" s="26"/>
      <c r="F105" s="21" t="s">
        <v>197</v>
      </c>
      <c r="G105" s="31" t="s">
        <v>12</v>
      </c>
      <c r="H105" s="29">
        <v>46293</v>
      </c>
    </row>
    <row r="106" spans="2:8">
      <c r="B106" s="20" t="s">
        <v>13</v>
      </c>
      <c r="C106" s="21"/>
      <c r="D106" s="26" t="s">
        <v>14</v>
      </c>
      <c r="E106" s="26"/>
      <c r="F106" s="21" t="s">
        <v>197</v>
      </c>
      <c r="G106" s="31" t="s">
        <v>12</v>
      </c>
      <c r="H106" s="29">
        <v>46293</v>
      </c>
    </row>
    <row r="107" spans="2:8">
      <c r="B107" s="20" t="s">
        <v>15</v>
      </c>
      <c r="C107" s="21"/>
      <c r="D107" s="26" t="s">
        <v>16</v>
      </c>
      <c r="E107" s="26"/>
      <c r="F107" s="121" t="s">
        <v>198</v>
      </c>
      <c r="G107" s="31" t="s">
        <v>12</v>
      </c>
      <c r="H107" s="29">
        <v>46253</v>
      </c>
    </row>
    <row r="108" spans="2:8">
      <c r="B108" s="20" t="s">
        <v>17</v>
      </c>
      <c r="C108" s="21"/>
      <c r="D108" s="26" t="s">
        <v>152</v>
      </c>
      <c r="E108" s="26"/>
      <c r="F108" s="122" t="s">
        <v>199</v>
      </c>
      <c r="G108" s="31" t="s">
        <v>12</v>
      </c>
      <c r="H108" s="29">
        <v>46292</v>
      </c>
    </row>
    <row r="109" spans="2:8">
      <c r="B109" s="20" t="s">
        <v>20</v>
      </c>
      <c r="C109" s="21"/>
      <c r="D109" s="26" t="s">
        <v>21</v>
      </c>
      <c r="E109" s="26"/>
      <c r="F109" s="21" t="s">
        <v>154</v>
      </c>
      <c r="G109" s="123" t="s">
        <v>12</v>
      </c>
      <c r="H109" s="124"/>
    </row>
    <row r="110" spans="2:8">
      <c r="B110" s="35" t="s">
        <v>22</v>
      </c>
      <c r="C110" s="26"/>
      <c r="D110" s="26" t="s">
        <v>23</v>
      </c>
      <c r="E110" s="26"/>
      <c r="F110" s="21" t="s">
        <v>24</v>
      </c>
      <c r="G110" s="28" t="s">
        <v>25</v>
      </c>
      <c r="H110" s="36"/>
    </row>
    <row r="111" ht="15.75" spans="2:8">
      <c r="B111" s="37" t="s">
        <v>26</v>
      </c>
      <c r="C111" s="38"/>
      <c r="D111" s="38" t="s">
        <v>27</v>
      </c>
      <c r="E111" s="38"/>
      <c r="F111" s="38" t="s">
        <v>28</v>
      </c>
      <c r="G111" s="39" t="s">
        <v>106</v>
      </c>
      <c r="H111" s="40"/>
    </row>
    <row r="112" ht="3.75" customHeight="1"/>
    <row r="113" ht="30.75" spans="2:8">
      <c r="B113" s="125" t="s">
        <v>30</v>
      </c>
      <c r="C113" s="126" t="s">
        <v>31</v>
      </c>
      <c r="D113" s="45" t="s">
        <v>32</v>
      </c>
      <c r="E113" s="44" t="s">
        <v>33</v>
      </c>
      <c r="F113" s="44" t="s">
        <v>34</v>
      </c>
      <c r="G113" s="44" t="s">
        <v>35</v>
      </c>
      <c r="H113" s="46" t="s">
        <v>36</v>
      </c>
    </row>
    <row r="114" customHeight="1" spans="2:8">
      <c r="B114" s="127">
        <v>1</v>
      </c>
      <c r="C114" s="48" t="s">
        <v>164</v>
      </c>
      <c r="D114" s="128">
        <v>82073000</v>
      </c>
      <c r="E114" s="129" t="s">
        <v>39</v>
      </c>
      <c r="F114" s="130">
        <v>1</v>
      </c>
      <c r="G114" s="131">
        <v>5328</v>
      </c>
      <c r="H114" s="132">
        <f>SUM(F114*G114)</f>
        <v>5328</v>
      </c>
    </row>
    <row r="115" spans="2:8">
      <c r="B115" s="62"/>
      <c r="C115" s="55" t="s">
        <v>200</v>
      </c>
      <c r="D115" s="128"/>
      <c r="E115" s="129"/>
      <c r="F115" s="130"/>
      <c r="G115" s="131"/>
      <c r="H115" s="132"/>
    </row>
    <row r="116" spans="2:8">
      <c r="B116" s="127"/>
      <c r="C116" s="133"/>
      <c r="D116" s="128"/>
      <c r="E116" s="129"/>
      <c r="F116" s="130"/>
      <c r="G116" s="131"/>
      <c r="H116" s="132"/>
    </row>
    <row r="117" customHeight="1" spans="2:8">
      <c r="B117" s="62"/>
      <c r="C117" s="134"/>
      <c r="D117" s="128"/>
      <c r="E117" s="129"/>
      <c r="F117" s="130"/>
      <c r="G117" s="131"/>
      <c r="H117" s="132"/>
    </row>
    <row r="118" spans="2:8">
      <c r="B118" s="62"/>
      <c r="C118" s="134"/>
      <c r="D118" s="128"/>
      <c r="E118" s="129"/>
      <c r="F118" s="130"/>
      <c r="G118" s="131"/>
      <c r="H118" s="132"/>
    </row>
    <row r="119" spans="2:8">
      <c r="B119" s="127"/>
      <c r="C119" s="134"/>
      <c r="D119" s="128"/>
      <c r="E119" s="129"/>
      <c r="F119" s="130"/>
      <c r="G119" s="135"/>
      <c r="H119" s="132"/>
    </row>
    <row r="120" spans="2:8">
      <c r="B120" s="62"/>
      <c r="C120" s="134"/>
      <c r="D120" s="128"/>
      <c r="E120" s="129"/>
      <c r="F120" s="130"/>
      <c r="G120" s="131"/>
      <c r="H120" s="132"/>
    </row>
    <row r="121" spans="2:8">
      <c r="B121" s="62"/>
      <c r="C121" s="134"/>
      <c r="D121" s="128"/>
      <c r="E121" s="129"/>
      <c r="F121" s="130"/>
      <c r="G121" s="70"/>
      <c r="H121" s="132"/>
    </row>
    <row r="122" spans="2:8">
      <c r="B122" s="62"/>
      <c r="C122" s="134"/>
      <c r="D122" s="128"/>
      <c r="E122" s="129"/>
      <c r="F122" s="130"/>
      <c r="G122" s="131"/>
      <c r="H122" s="132"/>
    </row>
    <row r="123" spans="2:8">
      <c r="B123" s="62"/>
      <c r="C123" s="121"/>
      <c r="D123" s="128"/>
      <c r="E123" s="129"/>
      <c r="F123" s="130"/>
      <c r="G123" s="70"/>
      <c r="H123" s="132"/>
    </row>
    <row r="124" spans="2:8">
      <c r="B124" s="62"/>
      <c r="C124" s="121"/>
      <c r="D124" s="27"/>
      <c r="E124" s="27"/>
      <c r="F124" s="66"/>
      <c r="G124" s="70"/>
      <c r="H124" s="132"/>
    </row>
    <row r="125" spans="2:8">
      <c r="B125" s="62"/>
      <c r="C125" s="121"/>
      <c r="D125" s="128"/>
      <c r="E125" s="129"/>
      <c r="F125" s="130"/>
      <c r="G125" s="21"/>
      <c r="H125" s="74"/>
    </row>
    <row r="126" spans="2:8">
      <c r="B126" s="54"/>
      <c r="C126" s="121"/>
      <c r="D126" s="128"/>
      <c r="E126" s="129"/>
      <c r="F126" s="130"/>
      <c r="G126" s="70"/>
      <c r="H126" s="132"/>
    </row>
    <row r="127" spans="2:8">
      <c r="B127" s="20"/>
      <c r="C127" s="121"/>
      <c r="D127" s="21"/>
      <c r="E127" s="21"/>
      <c r="F127" s="66"/>
      <c r="G127" s="21"/>
      <c r="H127" s="74"/>
    </row>
    <row r="128" ht="21" spans="2:8">
      <c r="B128" s="136" t="s">
        <v>158</v>
      </c>
      <c r="C128" s="137"/>
      <c r="D128" s="66" t="s">
        <v>43</v>
      </c>
      <c r="E128" s="73"/>
      <c r="F128" s="27">
        <f>SUM(F114:F127)</f>
        <v>1</v>
      </c>
      <c r="G128" s="21"/>
      <c r="H128" s="74"/>
    </row>
    <row r="129" spans="2:8">
      <c r="B129" s="75"/>
      <c r="C129" s="76"/>
      <c r="D129" s="76"/>
      <c r="E129" s="77"/>
      <c r="F129" s="26" t="s">
        <v>44</v>
      </c>
      <c r="G129" s="26"/>
      <c r="H129" s="78">
        <f>SUM(H114:H128)</f>
        <v>5328</v>
      </c>
    </row>
    <row r="130" spans="2:8">
      <c r="B130" s="79" t="s">
        <v>45</v>
      </c>
      <c r="C130" s="80"/>
      <c r="E130" s="81"/>
      <c r="F130" s="21" t="s">
        <v>46</v>
      </c>
      <c r="G130" s="82">
        <v>0.09</v>
      </c>
      <c r="H130" s="78">
        <f>SUM(H129*G130)</f>
        <v>479.52</v>
      </c>
    </row>
    <row r="131" spans="2:8">
      <c r="B131" s="83" t="s">
        <v>47</v>
      </c>
      <c r="C131" s="84"/>
      <c r="E131" s="81"/>
      <c r="F131" s="21" t="s">
        <v>48</v>
      </c>
      <c r="G131" s="82">
        <v>0.09</v>
      </c>
      <c r="H131" s="78">
        <f>SUM(H129*G131)</f>
        <v>479.52</v>
      </c>
    </row>
    <row r="132" spans="2:8">
      <c r="B132" s="83" t="s">
        <v>49</v>
      </c>
      <c r="C132" s="84"/>
      <c r="E132" s="81"/>
      <c r="F132" s="21" t="s">
        <v>50</v>
      </c>
      <c r="G132" s="82">
        <v>0.18</v>
      </c>
      <c r="H132" s="85" t="s">
        <v>51</v>
      </c>
    </row>
    <row r="133" spans="2:8">
      <c r="B133" s="83" t="s">
        <v>52</v>
      </c>
      <c r="C133" s="84"/>
      <c r="E133" s="81"/>
      <c r="F133" s="86" t="s">
        <v>53</v>
      </c>
      <c r="G133" s="87"/>
      <c r="H133" s="78">
        <f>SUM(H130:H132)</f>
        <v>959.04</v>
      </c>
    </row>
    <row r="134" spans="2:8">
      <c r="B134" s="83" t="s">
        <v>54</v>
      </c>
      <c r="C134" s="84"/>
      <c r="E134" s="81"/>
      <c r="F134" s="88" t="s">
        <v>55</v>
      </c>
      <c r="G134" s="88"/>
      <c r="H134" s="89">
        <f>SUM(H129+H133+H136)</f>
        <v>6287</v>
      </c>
    </row>
    <row r="135" spans="2:8">
      <c r="B135" s="90"/>
      <c r="C135" s="91"/>
      <c r="D135" s="91"/>
      <c r="E135" s="92"/>
      <c r="F135" s="93" t="s">
        <v>56</v>
      </c>
      <c r="G135" s="93"/>
      <c r="H135" s="74"/>
    </row>
    <row r="136" customHeight="1" spans="2:8">
      <c r="B136" s="138" t="s">
        <v>166</v>
      </c>
      <c r="C136" s="139"/>
      <c r="D136" s="139"/>
      <c r="E136" s="140"/>
      <c r="F136" s="86" t="s">
        <v>58</v>
      </c>
      <c r="G136" s="87"/>
      <c r="H136" s="74">
        <v>-0.04</v>
      </c>
    </row>
    <row r="137" ht="15.75" spans="2:8">
      <c r="B137" s="141"/>
      <c r="C137" s="142"/>
      <c r="D137" s="142"/>
      <c r="E137" s="143"/>
      <c r="F137" s="144"/>
      <c r="G137" s="145"/>
      <c r="H137" s="40"/>
    </row>
    <row r="138" spans="2:8">
      <c r="B138" s="100" t="s">
        <v>59</v>
      </c>
      <c r="C138" s="101"/>
      <c r="D138" s="101"/>
      <c r="E138" s="102" t="s">
        <v>60</v>
      </c>
      <c r="F138" s="102"/>
      <c r="G138" s="102"/>
      <c r="H138" s="103"/>
    </row>
    <row r="139" ht="18.75" spans="2:8">
      <c r="B139" s="104" t="s">
        <v>61</v>
      </c>
      <c r="E139" s="105" t="s">
        <v>62</v>
      </c>
      <c r="F139" s="105"/>
      <c r="G139" s="105"/>
      <c r="H139" s="106"/>
    </row>
    <row r="140" ht="18.75" spans="2:8">
      <c r="B140" s="108" t="s">
        <v>160</v>
      </c>
      <c r="C140" s="109"/>
      <c r="D140" s="110"/>
      <c r="E140" s="110"/>
      <c r="F140" s="111"/>
      <c r="G140" s="111"/>
      <c r="H140" s="42"/>
    </row>
    <row r="141" spans="2:8">
      <c r="B141" s="112" t="s">
        <v>64</v>
      </c>
      <c r="C141" s="113"/>
      <c r="D141" s="113"/>
      <c r="E141" s="113"/>
      <c r="F141" s="114"/>
      <c r="G141" s="111"/>
      <c r="H141" s="42"/>
    </row>
    <row r="142" spans="2:8">
      <c r="B142" s="112" t="s">
        <v>65</v>
      </c>
      <c r="C142" s="113"/>
      <c r="D142" s="113"/>
      <c r="E142" s="113"/>
      <c r="F142" s="114"/>
      <c r="G142" s="111"/>
      <c r="H142" s="42"/>
    </row>
    <row r="143" spans="2:8">
      <c r="B143" s="41"/>
      <c r="F143" s="111"/>
      <c r="G143" s="111"/>
      <c r="H143" s="42"/>
    </row>
    <row r="144" ht="15.75" spans="2:8">
      <c r="B144" s="115" t="s">
        <v>66</v>
      </c>
      <c r="C144" s="116"/>
      <c r="D144" s="116"/>
      <c r="E144" s="116"/>
      <c r="F144" s="116"/>
      <c r="G144" s="116"/>
      <c r="H144" s="117" t="s">
        <v>67</v>
      </c>
    </row>
  </sheetData>
  <mergeCells count="51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2:C32"/>
    <mergeCell ref="D32:E32"/>
    <mergeCell ref="F37:G37"/>
    <mergeCell ref="F40:G40"/>
    <mergeCell ref="F41:G41"/>
    <mergeCell ref="E42:H42"/>
    <mergeCell ref="E43:H43"/>
    <mergeCell ref="B49:H49"/>
    <mergeCell ref="B50:H50"/>
    <mergeCell ref="B51:H51"/>
    <mergeCell ref="B52:H52"/>
    <mergeCell ref="B53:H53"/>
    <mergeCell ref="B54:H54"/>
    <mergeCell ref="B55:H55"/>
    <mergeCell ref="D56:H56"/>
    <mergeCell ref="G62:H62"/>
    <mergeCell ref="B80:C80"/>
    <mergeCell ref="D80:E80"/>
    <mergeCell ref="F85:G85"/>
    <mergeCell ref="F88:G88"/>
    <mergeCell ref="F89:G89"/>
    <mergeCell ref="E90:H90"/>
    <mergeCell ref="E91:H91"/>
    <mergeCell ref="B97:H97"/>
    <mergeCell ref="B98:H98"/>
    <mergeCell ref="B99:H99"/>
    <mergeCell ref="B100:H100"/>
    <mergeCell ref="B101:H101"/>
    <mergeCell ref="B102:H102"/>
    <mergeCell ref="B103:H103"/>
    <mergeCell ref="D104:H104"/>
    <mergeCell ref="G110:H110"/>
    <mergeCell ref="B128:C128"/>
    <mergeCell ref="D128:E128"/>
    <mergeCell ref="F133:G133"/>
    <mergeCell ref="F136:G136"/>
    <mergeCell ref="F137:G137"/>
    <mergeCell ref="E138:H138"/>
    <mergeCell ref="E139:H139"/>
    <mergeCell ref="B40:E41"/>
    <mergeCell ref="B88:E89"/>
    <mergeCell ref="B136:E137"/>
  </mergeCells>
  <pageMargins left="0.17" right="0.17" top="0.3" bottom="0.88" header="0.17" footer="0.3"/>
  <pageSetup paperSize="9" orientation="portrait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149"/>
  <sheetViews>
    <sheetView topLeftCell="A10" workbookViewId="0">
      <selection activeCell="F12" sqref="F12"/>
    </sheetView>
  </sheetViews>
  <sheetFormatPr defaultColWidth="9" defaultRowHeight="15"/>
  <cols>
    <col min="1" max="1" width="0.552380952380952" customWidth="1"/>
    <col min="2" max="2" width="3.66666666666667" customWidth="1"/>
    <col min="3" max="3" width="38.8857142857143" customWidth="1"/>
    <col min="4" max="4" width="9.55238095238095" customWidth="1"/>
    <col min="5" max="5" width="7.88571428571429" customWidth="1"/>
    <col min="6" max="6" width="15.8857142857143" customWidth="1"/>
    <col min="7" max="7" width="11.8857142857143" customWidth="1"/>
    <col min="8" max="8" width="11.6666666666667" customWidth="1"/>
    <col min="9" max="9" width="0.666666666666667" customWidth="1"/>
  </cols>
  <sheetData>
    <row r="1" ht="15.75" spans="2:8">
      <c r="B1" s="1" t="s">
        <v>0</v>
      </c>
      <c r="C1" s="1"/>
      <c r="D1" s="1"/>
      <c r="E1" s="1"/>
      <c r="F1" s="1"/>
      <c r="G1" s="1"/>
      <c r="H1" s="1"/>
    </row>
    <row r="2" ht="21" spans="2:8">
      <c r="B2" s="2" t="s">
        <v>1</v>
      </c>
      <c r="C2" s="3"/>
      <c r="D2" s="3"/>
      <c r="E2" s="3"/>
      <c r="F2" s="3"/>
      <c r="G2" s="3"/>
      <c r="H2" s="4"/>
    </row>
    <row r="3" ht="28.5" spans="2:8">
      <c r="B3" s="5" t="s">
        <v>2</v>
      </c>
      <c r="C3" s="6"/>
      <c r="D3" s="6"/>
      <c r="E3" s="6"/>
      <c r="F3" s="6"/>
      <c r="G3" s="6"/>
      <c r="H3" s="7"/>
    </row>
    <row r="4" spans="2:8">
      <c r="B4" s="8" t="s">
        <v>3</v>
      </c>
      <c r="C4" s="9"/>
      <c r="D4" s="9"/>
      <c r="E4" s="9"/>
      <c r="F4" s="9"/>
      <c r="G4" s="9"/>
      <c r="H4" s="10"/>
    </row>
    <row r="5" ht="21.75" spans="2:8">
      <c r="B5" s="11" t="s">
        <v>4</v>
      </c>
      <c r="C5" s="12"/>
      <c r="D5" s="12"/>
      <c r="E5" s="12"/>
      <c r="F5" s="12"/>
      <c r="G5" s="12"/>
      <c r="H5" s="13"/>
    </row>
    <row r="6" spans="2:8">
      <c r="B6" s="14" t="s">
        <v>5</v>
      </c>
      <c r="C6" s="15"/>
      <c r="D6" s="15"/>
      <c r="E6" s="15"/>
      <c r="F6" s="15"/>
      <c r="G6" s="15"/>
      <c r="H6" s="16"/>
    </row>
    <row r="7" spans="2:8">
      <c r="B7" s="17" t="s">
        <v>6</v>
      </c>
      <c r="C7" s="18"/>
      <c r="D7" s="18"/>
      <c r="E7" s="18"/>
      <c r="F7" s="18"/>
      <c r="G7" s="18"/>
      <c r="H7" s="19"/>
    </row>
    <row r="8" ht="15.75" customHeight="1" spans="2:8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8">
      <c r="B9" s="25" t="s">
        <v>9</v>
      </c>
      <c r="C9" s="21"/>
      <c r="D9" s="26" t="s">
        <v>10</v>
      </c>
      <c r="E9" s="26"/>
      <c r="F9" s="27" t="s">
        <v>201</v>
      </c>
      <c r="G9" s="28" t="s">
        <v>12</v>
      </c>
      <c r="H9" s="29">
        <v>46293</v>
      </c>
    </row>
    <row r="10" spans="2:8">
      <c r="B10" s="20" t="s">
        <v>13</v>
      </c>
      <c r="C10" s="21"/>
      <c r="D10" s="26" t="s">
        <v>14</v>
      </c>
      <c r="E10" s="26"/>
      <c r="F10" s="27" t="s">
        <v>201</v>
      </c>
      <c r="G10" s="28" t="s">
        <v>12</v>
      </c>
      <c r="H10" s="29">
        <v>46293</v>
      </c>
    </row>
    <row r="11" spans="2:8">
      <c r="B11" s="20" t="s">
        <v>15</v>
      </c>
      <c r="C11" s="21"/>
      <c r="D11" s="26" t="s">
        <v>16</v>
      </c>
      <c r="E11" s="26"/>
      <c r="F11" s="30"/>
      <c r="G11" s="31" t="s">
        <v>12</v>
      </c>
      <c r="H11" s="29"/>
    </row>
    <row r="12" spans="2:8">
      <c r="B12" s="20" t="s">
        <v>17</v>
      </c>
      <c r="C12" s="21"/>
      <c r="D12" s="26" t="s">
        <v>18</v>
      </c>
      <c r="E12" s="26"/>
      <c r="F12" s="32" t="s">
        <v>202</v>
      </c>
      <c r="G12" s="31" t="s">
        <v>12</v>
      </c>
      <c r="H12" s="29">
        <v>46293</v>
      </c>
    </row>
    <row r="13" spans="2:8">
      <c r="B13" s="20" t="s">
        <v>20</v>
      </c>
      <c r="C13" s="21"/>
      <c r="D13" s="26" t="s">
        <v>21</v>
      </c>
      <c r="E13" s="26"/>
      <c r="F13" s="33"/>
      <c r="G13" s="34" t="s">
        <v>12</v>
      </c>
      <c r="H13" s="29"/>
    </row>
    <row r="14" spans="2:8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8">
      <c r="B15" s="37" t="s">
        <v>26</v>
      </c>
      <c r="C15" s="38"/>
      <c r="D15" s="38" t="s">
        <v>27</v>
      </c>
      <c r="E15" s="38"/>
      <c r="F15" s="38" t="s">
        <v>28</v>
      </c>
      <c r="G15" s="39" t="s">
        <v>29</v>
      </c>
      <c r="H15" s="40"/>
    </row>
    <row r="16" ht="3.75" customHeight="1" spans="2:8">
      <c r="B16" s="41"/>
      <c r="H16" s="42"/>
    </row>
    <row r="17" ht="39" spans="2:13">
      <c r="B17" s="43" t="s">
        <v>30</v>
      </c>
      <c r="C17" s="44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M17" t="s">
        <v>37</v>
      </c>
    </row>
    <row r="18" customHeight="1" spans="2:13">
      <c r="B18" s="47">
        <v>1</v>
      </c>
      <c r="C18" s="48" t="s">
        <v>203</v>
      </c>
      <c r="D18" s="49">
        <v>82073000</v>
      </c>
      <c r="E18" s="50" t="s">
        <v>39</v>
      </c>
      <c r="F18" s="51">
        <v>20</v>
      </c>
      <c r="G18" s="52">
        <v>200</v>
      </c>
      <c r="H18" s="53">
        <f>SUM(F18*G18)</f>
        <v>4000</v>
      </c>
    </row>
    <row r="19" spans="2:13">
      <c r="B19" s="54"/>
      <c r="C19" s="55" t="s">
        <v>204</v>
      </c>
      <c r="D19" s="56"/>
      <c r="E19" s="50"/>
      <c r="F19" s="51"/>
      <c r="G19" s="57"/>
      <c r="H19" s="53"/>
    </row>
    <row r="20" customHeight="1" spans="2:13">
      <c r="B20" s="54"/>
      <c r="C20" s="32"/>
      <c r="D20" s="58"/>
      <c r="E20" s="50"/>
      <c r="F20" s="51"/>
      <c r="G20" s="57"/>
      <c r="H20" s="53"/>
      <c r="L20" s="59"/>
    </row>
    <row r="21" customHeight="1" spans="2:13">
      <c r="B21" s="54"/>
      <c r="C21" s="60"/>
      <c r="D21" s="61"/>
      <c r="E21" s="50"/>
      <c r="F21" s="51"/>
      <c r="G21" s="57"/>
      <c r="H21" s="53"/>
      <c r="L21" s="59"/>
    </row>
    <row r="22" spans="2:13">
      <c r="B22" s="62"/>
      <c r="C22" s="32"/>
      <c r="D22" s="58"/>
      <c r="E22" s="50"/>
      <c r="F22" s="51"/>
      <c r="G22" s="57"/>
      <c r="H22" s="53"/>
    </row>
    <row r="23" customHeight="1" spans="2:13">
      <c r="B23" s="62"/>
      <c r="C23" s="60"/>
      <c r="D23" s="56"/>
      <c r="E23" s="50"/>
      <c r="F23" s="51"/>
      <c r="G23" s="57"/>
      <c r="H23" s="53"/>
    </row>
    <row r="24" spans="2:13">
      <c r="B24" s="62"/>
      <c r="C24" s="32"/>
      <c r="D24" s="63"/>
      <c r="E24" s="50"/>
      <c r="F24" s="51"/>
      <c r="G24" s="57"/>
      <c r="H24" s="53"/>
    </row>
    <row r="25" spans="2:13">
      <c r="B25" s="62"/>
      <c r="C25" s="64"/>
      <c r="D25" s="63"/>
      <c r="E25" s="50"/>
      <c r="F25" s="51"/>
      <c r="G25" s="57"/>
      <c r="H25" s="53"/>
    </row>
    <row r="26" spans="2:13">
      <c r="B26" s="62"/>
      <c r="C26" s="32"/>
      <c r="D26" s="63"/>
      <c r="E26" s="50"/>
      <c r="F26" s="51"/>
      <c r="G26" s="57"/>
      <c r="H26" s="53"/>
    </row>
    <row r="27" spans="2:13">
      <c r="B27" s="62"/>
      <c r="C27" s="65"/>
      <c r="D27" s="27"/>
      <c r="E27" s="27"/>
      <c r="F27" s="66"/>
      <c r="G27" s="57"/>
      <c r="H27" s="53"/>
    </row>
    <row r="28" spans="2:13">
      <c r="B28" s="62"/>
      <c r="C28" s="32"/>
      <c r="D28" s="63"/>
      <c r="E28" s="50"/>
      <c r="F28" s="51"/>
      <c r="G28" s="57"/>
      <c r="H28" s="53"/>
    </row>
    <row r="29" spans="2:13">
      <c r="B29" s="62"/>
      <c r="C29" s="65"/>
      <c r="D29" s="27"/>
      <c r="E29" s="27"/>
      <c r="F29" s="66"/>
      <c r="G29" s="57"/>
      <c r="H29" s="53"/>
    </row>
    <row r="30" customHeight="1" spans="2:13">
      <c r="B30" s="62"/>
      <c r="C30" s="67"/>
      <c r="D30" s="63"/>
      <c r="E30" s="50"/>
      <c r="F30" s="51"/>
      <c r="G30" s="68"/>
      <c r="H30" s="69"/>
    </row>
    <row r="31" customHeight="1" spans="2:13">
      <c r="B31" s="20"/>
      <c r="C31" s="65"/>
      <c r="D31" s="21"/>
      <c r="E31" s="21"/>
      <c r="F31" s="66"/>
      <c r="G31" s="70"/>
      <c r="H31" s="69"/>
    </row>
    <row r="32" customHeight="1" spans="2:13">
      <c r="B32" s="62"/>
      <c r="C32" s="32"/>
      <c r="D32" s="63"/>
      <c r="E32" s="50"/>
      <c r="F32" s="51"/>
      <c r="G32" s="70"/>
      <c r="H32" s="69"/>
    </row>
    <row r="33" customHeight="1" spans="2:9">
      <c r="B33" s="20"/>
      <c r="C33" s="65"/>
      <c r="D33" s="21"/>
      <c r="E33" s="21"/>
      <c r="F33" s="66"/>
      <c r="G33" s="70"/>
      <c r="H33" s="69"/>
    </row>
    <row r="34" customHeight="1" spans="2:9">
      <c r="B34" s="71" t="s">
        <v>42</v>
      </c>
      <c r="C34" s="72"/>
      <c r="D34" s="66" t="s">
        <v>43</v>
      </c>
      <c r="E34" s="73"/>
      <c r="F34" s="27">
        <f>SUM(F18:F33)</f>
        <v>20</v>
      </c>
      <c r="G34" s="21"/>
      <c r="H34" s="74"/>
    </row>
    <row r="35" spans="2:9">
      <c r="B35" s="75"/>
      <c r="C35" s="76"/>
      <c r="D35" s="76"/>
      <c r="E35" s="77"/>
      <c r="F35" s="26" t="s">
        <v>44</v>
      </c>
      <c r="G35" s="26"/>
      <c r="H35" s="78">
        <f>SUM(H18:H34)</f>
        <v>4000</v>
      </c>
    </row>
    <row r="36" spans="2:9">
      <c r="B36" s="79" t="s">
        <v>45</v>
      </c>
      <c r="C36" s="80"/>
      <c r="E36" s="81"/>
      <c r="F36" s="21" t="s">
        <v>46</v>
      </c>
      <c r="G36" s="82">
        <v>0.09</v>
      </c>
      <c r="H36" s="78">
        <f>SUM(H35*G36)</f>
        <v>360</v>
      </c>
    </row>
    <row r="37" spans="2:9">
      <c r="B37" s="83" t="s">
        <v>47</v>
      </c>
      <c r="C37" s="84"/>
      <c r="E37" s="81"/>
      <c r="F37" s="21" t="s">
        <v>48</v>
      </c>
      <c r="G37" s="82">
        <v>0.09</v>
      </c>
      <c r="H37" s="78">
        <f>SUM(H35*G37)</f>
        <v>360</v>
      </c>
    </row>
    <row r="38" spans="2:9">
      <c r="B38" s="83" t="s">
        <v>49</v>
      </c>
      <c r="C38" s="84"/>
      <c r="E38" s="81"/>
      <c r="F38" s="21" t="s">
        <v>50</v>
      </c>
      <c r="G38" s="82">
        <v>0.18</v>
      </c>
      <c r="H38" s="85" t="s">
        <v>51</v>
      </c>
    </row>
    <row r="39" spans="2:9">
      <c r="B39" s="83" t="s">
        <v>52</v>
      </c>
      <c r="C39" s="84"/>
      <c r="E39" s="81"/>
      <c r="F39" s="86" t="s">
        <v>53</v>
      </c>
      <c r="G39" s="87"/>
      <c r="H39" s="78">
        <f>SUM(H36:H38)</f>
        <v>720</v>
      </c>
    </row>
    <row r="40" spans="2:9">
      <c r="B40" s="83" t="s">
        <v>54</v>
      </c>
      <c r="C40" s="84"/>
      <c r="E40" s="81"/>
      <c r="F40" s="88" t="s">
        <v>55</v>
      </c>
      <c r="G40" s="88"/>
      <c r="H40" s="89">
        <f>SUM(H35+H39+H42)</f>
        <v>4720</v>
      </c>
    </row>
    <row r="41" spans="2:9">
      <c r="B41" s="90"/>
      <c r="C41" s="91"/>
      <c r="D41" s="91"/>
      <c r="E41" s="92"/>
      <c r="F41" s="93" t="s">
        <v>56</v>
      </c>
      <c r="G41" s="93"/>
      <c r="H41" s="74"/>
    </row>
    <row r="42" ht="29.4" customHeight="1" spans="2:9">
      <c r="B42" s="94" t="s">
        <v>205</v>
      </c>
      <c r="C42" s="95"/>
      <c r="D42" s="95"/>
      <c r="E42" s="96"/>
      <c r="F42" s="97" t="s">
        <v>58</v>
      </c>
      <c r="G42" s="98"/>
      <c r="H42" s="99"/>
    </row>
    <row r="43" ht="27.6" customHeight="1" spans="2:9">
      <c r="B43" s="100" t="s">
        <v>59</v>
      </c>
      <c r="C43" s="101"/>
      <c r="D43" s="101"/>
      <c r="E43" s="102" t="s">
        <v>60</v>
      </c>
      <c r="F43" s="102"/>
      <c r="G43" s="102"/>
      <c r="H43" s="103"/>
    </row>
    <row r="44" ht="18.75" spans="2:9">
      <c r="B44" s="104" t="s">
        <v>61</v>
      </c>
      <c r="E44" s="105" t="s">
        <v>62</v>
      </c>
      <c r="F44" s="105"/>
      <c r="G44" s="105"/>
      <c r="H44" s="106"/>
      <c r="I44" s="107"/>
    </row>
    <row r="45" ht="18.75" spans="2:9">
      <c r="B45" s="108" t="s">
        <v>63</v>
      </c>
      <c r="C45" s="109"/>
      <c r="D45" s="110"/>
      <c r="E45" s="110"/>
      <c r="F45" s="111"/>
      <c r="G45" s="111"/>
      <c r="H45" s="42"/>
    </row>
    <row r="46" spans="2:9">
      <c r="B46" s="112" t="s">
        <v>64</v>
      </c>
      <c r="C46" s="113"/>
      <c r="D46" s="113"/>
      <c r="E46" s="113"/>
      <c r="F46" s="114"/>
      <c r="G46" s="111"/>
      <c r="H46" s="42"/>
    </row>
    <row r="47" spans="2:9">
      <c r="B47" s="112" t="s">
        <v>65</v>
      </c>
      <c r="C47" s="113"/>
      <c r="D47" s="113"/>
      <c r="E47" s="113"/>
      <c r="F47" s="114"/>
      <c r="G47" s="111"/>
      <c r="H47" s="42"/>
    </row>
    <row r="48" spans="2:9">
      <c r="B48" s="41"/>
      <c r="F48" s="111"/>
      <c r="G48" s="111"/>
      <c r="H48" s="42"/>
    </row>
    <row r="49" ht="15.75" spans="2:24">
      <c r="B49" s="115" t="s">
        <v>66</v>
      </c>
      <c r="C49" s="116"/>
      <c r="D49" s="116"/>
      <c r="E49" s="116"/>
      <c r="F49" s="116"/>
      <c r="G49" s="116"/>
      <c r="H49" s="117" t="s">
        <v>67</v>
      </c>
    </row>
    <row r="50" spans="2:24">
      <c r="H50" s="118"/>
    </row>
    <row r="51" ht="15.75" customHeight="1" spans="2:24">
      <c r="B51" s="1" t="s">
        <v>68</v>
      </c>
      <c r="C51" s="1"/>
      <c r="D51" s="1"/>
      <c r="E51" s="1"/>
      <c r="F51" s="1"/>
      <c r="G51" s="1"/>
      <c r="H51" s="1"/>
    </row>
    <row r="52" ht="21" spans="2:24">
      <c r="B52" s="2" t="s">
        <v>1</v>
      </c>
      <c r="C52" s="3"/>
      <c r="D52" s="3"/>
      <c r="E52" s="3"/>
      <c r="F52" s="3"/>
      <c r="G52" s="3"/>
      <c r="H52" s="4"/>
    </row>
    <row r="53" ht="28.5" spans="2:24">
      <c r="B53" s="5" t="s">
        <v>2</v>
      </c>
      <c r="C53" s="6"/>
      <c r="D53" s="6"/>
      <c r="E53" s="6"/>
      <c r="F53" s="6"/>
      <c r="G53" s="6"/>
      <c r="H53" s="7"/>
    </row>
    <row r="54" spans="2:24">
      <c r="B54" s="8" t="s">
        <v>3</v>
      </c>
      <c r="C54" s="9"/>
      <c r="D54" s="9"/>
      <c r="E54" s="9"/>
      <c r="F54" s="9"/>
      <c r="G54" s="9"/>
      <c r="H54" s="10"/>
    </row>
    <row r="55" ht="21.75" spans="2:24">
      <c r="B55" s="11" t="s">
        <v>4</v>
      </c>
      <c r="C55" s="12"/>
      <c r="D55" s="12"/>
      <c r="E55" s="12"/>
      <c r="F55" s="12"/>
      <c r="G55" s="12"/>
      <c r="H55" s="13"/>
    </row>
    <row r="56" spans="2:24">
      <c r="B56" s="14" t="s">
        <v>5</v>
      </c>
      <c r="C56" s="15"/>
      <c r="D56" s="15"/>
      <c r="E56" s="15"/>
      <c r="F56" s="15"/>
      <c r="G56" s="15"/>
      <c r="H56" s="16"/>
    </row>
    <row r="57" spans="2:24">
      <c r="B57" s="17" t="s">
        <v>6</v>
      </c>
      <c r="C57" s="18"/>
      <c r="D57" s="18"/>
      <c r="E57" s="18"/>
      <c r="F57" s="18"/>
      <c r="G57" s="18"/>
      <c r="H57" s="19"/>
      <c r="X57" s="119"/>
    </row>
    <row r="58" ht="15.75" customHeight="1" spans="2:24">
      <c r="B58" s="20" t="s">
        <v>7</v>
      </c>
      <c r="C58" s="21"/>
      <c r="D58" s="22" t="s">
        <v>8</v>
      </c>
      <c r="E58" s="23"/>
      <c r="F58" s="23"/>
      <c r="G58" s="23"/>
      <c r="H58" s="24"/>
    </row>
    <row r="59" ht="21" spans="2:24">
      <c r="B59" s="25" t="s">
        <v>9</v>
      </c>
      <c r="C59" s="21"/>
      <c r="D59" s="26" t="s">
        <v>10</v>
      </c>
      <c r="E59" s="26"/>
      <c r="F59" s="27" t="s">
        <v>201</v>
      </c>
      <c r="G59" s="28" t="s">
        <v>12</v>
      </c>
      <c r="H59" s="29">
        <v>46293</v>
      </c>
    </row>
    <row r="60" spans="2:24">
      <c r="B60" s="20" t="s">
        <v>13</v>
      </c>
      <c r="C60" s="21"/>
      <c r="D60" s="26" t="s">
        <v>14</v>
      </c>
      <c r="E60" s="26"/>
      <c r="F60" s="27" t="s">
        <v>201</v>
      </c>
      <c r="G60" s="28" t="s">
        <v>12</v>
      </c>
      <c r="H60" s="29">
        <v>46293</v>
      </c>
    </row>
    <row r="61" spans="2:24">
      <c r="B61" s="20" t="s">
        <v>15</v>
      </c>
      <c r="C61" s="21"/>
      <c r="D61" s="26" t="s">
        <v>16</v>
      </c>
      <c r="E61" s="26"/>
      <c r="F61" s="30"/>
      <c r="G61" s="31" t="s">
        <v>12</v>
      </c>
      <c r="H61" s="29"/>
    </row>
    <row r="62" spans="2:24">
      <c r="B62" s="20" t="s">
        <v>17</v>
      </c>
      <c r="C62" s="21"/>
      <c r="D62" s="26" t="s">
        <v>18</v>
      </c>
      <c r="E62" s="26"/>
      <c r="F62" s="32" t="s">
        <v>202</v>
      </c>
      <c r="G62" s="31" t="s">
        <v>12</v>
      </c>
      <c r="H62" s="29">
        <v>46293</v>
      </c>
    </row>
    <row r="63" spans="2:24">
      <c r="B63" s="20" t="s">
        <v>20</v>
      </c>
      <c r="C63" s="21"/>
      <c r="D63" s="26" t="s">
        <v>21</v>
      </c>
      <c r="E63" s="26"/>
      <c r="F63" s="33"/>
      <c r="G63" s="34" t="s">
        <v>12</v>
      </c>
      <c r="H63" s="29"/>
    </row>
    <row r="64" spans="2:24">
      <c r="B64" s="35" t="s">
        <v>22</v>
      </c>
      <c r="C64" s="26"/>
      <c r="D64" s="26" t="s">
        <v>23</v>
      </c>
      <c r="E64" s="26"/>
      <c r="F64" s="21" t="s">
        <v>24</v>
      </c>
      <c r="G64" s="28" t="s">
        <v>25</v>
      </c>
      <c r="H64" s="36"/>
    </row>
    <row r="65" ht="15.75" spans="2:8">
      <c r="B65" s="37" t="s">
        <v>26</v>
      </c>
      <c r="C65" s="38"/>
      <c r="D65" s="38" t="s">
        <v>27</v>
      </c>
      <c r="E65" s="38"/>
      <c r="F65" s="38" t="s">
        <v>28</v>
      </c>
      <c r="G65" s="39" t="s">
        <v>29</v>
      </c>
      <c r="H65" s="40"/>
    </row>
    <row r="66" ht="4.5" customHeight="1" spans="2:8">
      <c r="B66" s="41"/>
      <c r="H66" s="42"/>
    </row>
    <row r="67" ht="39" spans="2:8">
      <c r="B67" s="43" t="s">
        <v>30</v>
      </c>
      <c r="C67" s="44" t="s">
        <v>31</v>
      </c>
      <c r="D67" s="45" t="s">
        <v>32</v>
      </c>
      <c r="E67" s="44" t="s">
        <v>33</v>
      </c>
      <c r="F67" s="44" t="s">
        <v>34</v>
      </c>
      <c r="G67" s="44" t="s">
        <v>35</v>
      </c>
      <c r="H67" s="46" t="s">
        <v>36</v>
      </c>
    </row>
    <row r="68" customHeight="1" spans="2:8">
      <c r="B68" s="47">
        <v>1</v>
      </c>
      <c r="C68" s="48" t="s">
        <v>203</v>
      </c>
      <c r="D68" s="49">
        <v>82073000</v>
      </c>
      <c r="E68" s="50" t="s">
        <v>39</v>
      </c>
      <c r="F68" s="51">
        <v>20</v>
      </c>
      <c r="G68" s="52">
        <v>200</v>
      </c>
      <c r="H68" s="53">
        <f>SUM(F68*G68)</f>
        <v>4000</v>
      </c>
    </row>
    <row r="69" spans="2:8">
      <c r="B69" s="54"/>
      <c r="C69" s="55" t="s">
        <v>204</v>
      </c>
      <c r="D69" s="56"/>
      <c r="E69" s="50"/>
      <c r="F69" s="51"/>
      <c r="G69" s="57"/>
      <c r="H69" s="53"/>
    </row>
    <row r="70" customHeight="1" spans="2:8">
      <c r="B70" s="54"/>
      <c r="C70" s="32"/>
      <c r="D70" s="58"/>
      <c r="E70" s="50"/>
      <c r="F70" s="51"/>
      <c r="G70" s="57"/>
      <c r="H70" s="53"/>
    </row>
    <row r="71" spans="2:8">
      <c r="B71" s="54"/>
      <c r="C71" s="60"/>
      <c r="D71" s="61"/>
      <c r="E71" s="50"/>
      <c r="F71" s="51"/>
      <c r="G71" s="57"/>
      <c r="H71" s="53"/>
    </row>
    <row r="72" customHeight="1" spans="2:8">
      <c r="B72" s="62"/>
      <c r="C72" s="32"/>
      <c r="D72" s="58"/>
      <c r="E72" s="50"/>
      <c r="F72" s="51"/>
      <c r="G72" s="57"/>
      <c r="H72" s="53"/>
    </row>
    <row r="73" spans="2:8">
      <c r="B73" s="62"/>
      <c r="C73" s="60"/>
      <c r="D73" s="56"/>
      <c r="E73" s="50"/>
      <c r="F73" s="51"/>
      <c r="G73" s="57"/>
      <c r="H73" s="53"/>
    </row>
    <row r="74" spans="2:8">
      <c r="B74" s="62"/>
      <c r="C74" s="32"/>
      <c r="D74" s="63"/>
      <c r="E74" s="50"/>
      <c r="F74" s="51"/>
      <c r="G74" s="57"/>
      <c r="H74" s="53"/>
    </row>
    <row r="75" spans="2:8">
      <c r="B75" s="62"/>
      <c r="C75" s="64"/>
      <c r="D75" s="63"/>
      <c r="E75" s="50"/>
      <c r="F75" s="51"/>
      <c r="G75" s="57"/>
      <c r="H75" s="53"/>
    </row>
    <row r="76" spans="2:8">
      <c r="B76" s="62"/>
      <c r="C76" s="32"/>
      <c r="D76" s="63"/>
      <c r="E76" s="50"/>
      <c r="F76" s="51"/>
      <c r="G76" s="57"/>
      <c r="H76" s="53"/>
    </row>
    <row r="77" spans="2:8">
      <c r="B77" s="62"/>
      <c r="C77" s="65"/>
      <c r="D77" s="27"/>
      <c r="E77" s="27"/>
      <c r="F77" s="66"/>
      <c r="G77" s="57"/>
      <c r="H77" s="53"/>
    </row>
    <row r="78" spans="2:8">
      <c r="B78" s="62"/>
      <c r="C78" s="32"/>
      <c r="D78" s="63"/>
      <c r="E78" s="50"/>
      <c r="F78" s="51"/>
      <c r="G78" s="57"/>
      <c r="H78" s="53"/>
    </row>
    <row r="79" spans="2:8">
      <c r="B79" s="62"/>
      <c r="C79" s="65"/>
      <c r="D79" s="27"/>
      <c r="E79" s="27"/>
      <c r="F79" s="66"/>
      <c r="G79" s="57"/>
      <c r="H79" s="53"/>
    </row>
    <row r="80" spans="2:8">
      <c r="B80" s="62"/>
      <c r="C80" s="67"/>
      <c r="D80" s="63"/>
      <c r="E80" s="50"/>
      <c r="F80" s="51"/>
      <c r="G80" s="68"/>
      <c r="H80" s="69"/>
    </row>
    <row r="81" spans="2:9">
      <c r="B81" s="20"/>
      <c r="C81" s="65"/>
      <c r="D81" s="21"/>
      <c r="E81" s="21"/>
      <c r="F81" s="66"/>
      <c r="G81" s="70"/>
      <c r="H81" s="69"/>
    </row>
    <row r="82" spans="2:9">
      <c r="B82" s="62"/>
      <c r="C82" s="32"/>
      <c r="D82" s="63"/>
      <c r="E82" s="50"/>
      <c r="F82" s="51"/>
      <c r="G82" s="70"/>
      <c r="H82" s="69"/>
    </row>
    <row r="83" spans="2:9">
      <c r="B83" s="20"/>
      <c r="C83" s="65"/>
      <c r="D83" s="21"/>
      <c r="E83" s="21"/>
      <c r="F83" s="66"/>
      <c r="G83" s="70"/>
      <c r="H83" s="69"/>
    </row>
    <row r="84" ht="21" spans="2:9">
      <c r="B84" s="71" t="s">
        <v>42</v>
      </c>
      <c r="C84" s="72"/>
      <c r="D84" s="66" t="s">
        <v>43</v>
      </c>
      <c r="E84" s="73"/>
      <c r="F84" s="27">
        <f>SUM(F68:F83)</f>
        <v>20</v>
      </c>
      <c r="G84" s="21"/>
      <c r="H84" s="74"/>
    </row>
    <row r="85" spans="2:9">
      <c r="B85" s="75"/>
      <c r="C85" s="76"/>
      <c r="D85" s="76"/>
      <c r="E85" s="77"/>
      <c r="F85" s="26" t="s">
        <v>44</v>
      </c>
      <c r="G85" s="26"/>
      <c r="H85" s="78">
        <f>SUM(H68:H84)</f>
        <v>4000</v>
      </c>
    </row>
    <row r="86" spans="2:9">
      <c r="B86" s="79" t="s">
        <v>45</v>
      </c>
      <c r="C86" s="80"/>
      <c r="E86" s="81"/>
      <c r="F86" s="21" t="s">
        <v>46</v>
      </c>
      <c r="G86" s="82">
        <v>0.09</v>
      </c>
      <c r="H86" s="78">
        <f>SUM(H85*G86)</f>
        <v>360</v>
      </c>
    </row>
    <row r="87" spans="2:9">
      <c r="B87" s="83" t="s">
        <v>47</v>
      </c>
      <c r="C87" s="84"/>
      <c r="E87" s="81"/>
      <c r="F87" s="21" t="s">
        <v>48</v>
      </c>
      <c r="G87" s="82">
        <v>0.09</v>
      </c>
      <c r="H87" s="78">
        <f>SUM(H85*G87)</f>
        <v>360</v>
      </c>
    </row>
    <row r="88" spans="2:9">
      <c r="B88" s="83" t="s">
        <v>49</v>
      </c>
      <c r="C88" s="84"/>
      <c r="E88" s="81"/>
      <c r="F88" s="21" t="s">
        <v>50</v>
      </c>
      <c r="G88" s="82">
        <v>0.18</v>
      </c>
      <c r="H88" s="85" t="s">
        <v>51</v>
      </c>
    </row>
    <row r="89" spans="2:9">
      <c r="B89" s="83" t="s">
        <v>52</v>
      </c>
      <c r="C89" s="84"/>
      <c r="E89" s="81"/>
      <c r="F89" s="86" t="s">
        <v>53</v>
      </c>
      <c r="G89" s="87"/>
      <c r="H89" s="78">
        <f>SUM(H86:H88)</f>
        <v>720</v>
      </c>
    </row>
    <row r="90" customHeight="1" spans="2:9">
      <c r="B90" s="83" t="s">
        <v>54</v>
      </c>
      <c r="C90" s="84"/>
      <c r="E90" s="81"/>
      <c r="F90" s="88" t="s">
        <v>55</v>
      </c>
      <c r="G90" s="88"/>
      <c r="H90" s="89">
        <f>SUM(H85+H89+H92)</f>
        <v>4720</v>
      </c>
    </row>
    <row r="91" spans="2:9">
      <c r="B91" s="90"/>
      <c r="C91" s="91"/>
      <c r="D91" s="91"/>
      <c r="E91" s="92"/>
      <c r="F91" s="93" t="s">
        <v>56</v>
      </c>
      <c r="G91" s="93"/>
      <c r="H91" s="74"/>
      <c r="I91" s="59"/>
    </row>
    <row r="92" ht="29.4" customHeight="1" spans="2:9">
      <c r="B92" s="94" t="s">
        <v>205</v>
      </c>
      <c r="C92" s="95"/>
      <c r="D92" s="95"/>
      <c r="E92" s="96"/>
      <c r="F92" s="97" t="s">
        <v>58</v>
      </c>
      <c r="G92" s="98"/>
      <c r="H92" s="99"/>
    </row>
    <row r="93" ht="29.25" customHeight="1" spans="2:9">
      <c r="B93" s="100" t="s">
        <v>59</v>
      </c>
      <c r="C93" s="101"/>
      <c r="D93" s="101"/>
      <c r="E93" s="102" t="s">
        <v>60</v>
      </c>
      <c r="F93" s="102"/>
      <c r="G93" s="102"/>
      <c r="H93" s="103"/>
    </row>
    <row r="94" ht="18.75" spans="2:9">
      <c r="B94" s="104" t="s">
        <v>61</v>
      </c>
      <c r="E94" s="105" t="s">
        <v>62</v>
      </c>
      <c r="F94" s="105"/>
      <c r="G94" s="105"/>
      <c r="H94" s="106"/>
    </row>
    <row r="95" ht="18.75" spans="2:9">
      <c r="B95" s="108" t="s">
        <v>63</v>
      </c>
      <c r="C95" s="109"/>
      <c r="D95" s="110"/>
      <c r="E95" s="110"/>
      <c r="F95" s="111"/>
      <c r="G95" s="111"/>
      <c r="H95" s="42"/>
    </row>
    <row r="96" spans="2:9">
      <c r="B96" s="112" t="s">
        <v>64</v>
      </c>
      <c r="C96" s="113"/>
      <c r="D96" s="113"/>
      <c r="E96" s="113"/>
      <c r="F96" s="114"/>
      <c r="G96" s="111"/>
      <c r="H96" s="42"/>
    </row>
    <row r="97" spans="2:8">
      <c r="B97" s="112" t="s">
        <v>65</v>
      </c>
      <c r="C97" s="113"/>
      <c r="D97" s="113"/>
      <c r="E97" s="113"/>
      <c r="F97" s="114"/>
      <c r="G97" s="111"/>
      <c r="H97" s="42"/>
    </row>
    <row r="98" spans="2:8">
      <c r="B98" s="41"/>
      <c r="F98" s="111"/>
      <c r="G98" s="111"/>
      <c r="H98" s="42"/>
    </row>
    <row r="99" ht="15.75" spans="2:8">
      <c r="B99" s="115" t="s">
        <v>66</v>
      </c>
      <c r="C99" s="116"/>
      <c r="D99" s="116"/>
      <c r="E99" s="116"/>
      <c r="F99" s="116"/>
      <c r="G99" s="116"/>
      <c r="H99" s="117" t="s">
        <v>67</v>
      </c>
    </row>
    <row r="100" spans="2:8">
      <c r="H100" s="118"/>
    </row>
    <row r="101" ht="18" customHeight="1" spans="2:8">
      <c r="B101" s="120" t="s">
        <v>69</v>
      </c>
      <c r="C101" s="120"/>
      <c r="D101" s="120"/>
      <c r="E101" s="120"/>
      <c r="F101" s="120"/>
      <c r="G101" s="120"/>
      <c r="H101" s="120"/>
    </row>
    <row r="102" ht="21" spans="2:8">
      <c r="B102" s="2" t="s">
        <v>1</v>
      </c>
      <c r="C102" s="3"/>
      <c r="D102" s="3"/>
      <c r="E102" s="3"/>
      <c r="F102" s="3"/>
      <c r="G102" s="3"/>
      <c r="H102" s="4"/>
    </row>
    <row r="103" ht="28.5" spans="2:8">
      <c r="B103" s="5" t="s">
        <v>2</v>
      </c>
      <c r="C103" s="6"/>
      <c r="D103" s="6"/>
      <c r="E103" s="6"/>
      <c r="F103" s="6"/>
      <c r="G103" s="6"/>
      <c r="H103" s="7"/>
    </row>
    <row r="104" spans="2:8">
      <c r="B104" s="8" t="s">
        <v>3</v>
      </c>
      <c r="C104" s="9"/>
      <c r="D104" s="9"/>
      <c r="E104" s="9"/>
      <c r="F104" s="9"/>
      <c r="G104" s="9"/>
      <c r="H104" s="10"/>
    </row>
    <row r="105" ht="21.75" spans="2:8">
      <c r="B105" s="11" t="s">
        <v>4</v>
      </c>
      <c r="C105" s="12"/>
      <c r="D105" s="12"/>
      <c r="E105" s="12"/>
      <c r="F105" s="12"/>
      <c r="G105" s="12"/>
      <c r="H105" s="13"/>
    </row>
    <row r="106" spans="2:8">
      <c r="B106" s="14" t="s">
        <v>5</v>
      </c>
      <c r="C106" s="15"/>
      <c r="D106" s="15"/>
      <c r="E106" s="15"/>
      <c r="F106" s="15"/>
      <c r="G106" s="15"/>
      <c r="H106" s="16"/>
    </row>
    <row r="107" spans="2:8">
      <c r="B107" s="17" t="s">
        <v>6</v>
      </c>
      <c r="C107" s="18"/>
      <c r="D107" s="18"/>
      <c r="E107" s="18"/>
      <c r="F107" s="18"/>
      <c r="G107" s="18"/>
      <c r="H107" s="19"/>
    </row>
    <row r="108" ht="15.75" customHeight="1" spans="2:8">
      <c r="B108" s="20" t="s">
        <v>7</v>
      </c>
      <c r="C108" s="21"/>
      <c r="D108" s="22" t="s">
        <v>8</v>
      </c>
      <c r="E108" s="23"/>
      <c r="F108" s="23"/>
      <c r="G108" s="23"/>
      <c r="H108" s="24"/>
    </row>
    <row r="109" ht="21" spans="2:8">
      <c r="B109" s="25" t="s">
        <v>9</v>
      </c>
      <c r="C109" s="21"/>
      <c r="D109" s="26" t="s">
        <v>10</v>
      </c>
      <c r="E109" s="26"/>
      <c r="F109" s="27" t="s">
        <v>201</v>
      </c>
      <c r="G109" s="28" t="s">
        <v>12</v>
      </c>
      <c r="H109" s="29">
        <v>46293</v>
      </c>
    </row>
    <row r="110" spans="2:8">
      <c r="B110" s="20" t="s">
        <v>13</v>
      </c>
      <c r="C110" s="21"/>
      <c r="D110" s="26" t="s">
        <v>14</v>
      </c>
      <c r="E110" s="26"/>
      <c r="F110" s="27" t="s">
        <v>201</v>
      </c>
      <c r="G110" s="28" t="s">
        <v>12</v>
      </c>
      <c r="H110" s="29">
        <v>46293</v>
      </c>
    </row>
    <row r="111" spans="2:8">
      <c r="B111" s="20" t="s">
        <v>15</v>
      </c>
      <c r="C111" s="21"/>
      <c r="D111" s="26" t="s">
        <v>16</v>
      </c>
      <c r="E111" s="26"/>
      <c r="F111" s="30"/>
      <c r="G111" s="31" t="s">
        <v>12</v>
      </c>
      <c r="H111" s="29"/>
    </row>
    <row r="112" spans="2:8">
      <c r="B112" s="20" t="s">
        <v>17</v>
      </c>
      <c r="C112" s="21"/>
      <c r="D112" s="26" t="s">
        <v>18</v>
      </c>
      <c r="E112" s="26"/>
      <c r="F112" s="32" t="s">
        <v>202</v>
      </c>
      <c r="G112" s="31" t="s">
        <v>12</v>
      </c>
      <c r="H112" s="29">
        <v>46293</v>
      </c>
    </row>
    <row r="113" spans="2:8">
      <c r="B113" s="20" t="s">
        <v>20</v>
      </c>
      <c r="C113" s="21"/>
      <c r="D113" s="26" t="s">
        <v>21</v>
      </c>
      <c r="E113" s="26"/>
      <c r="F113" s="33"/>
      <c r="G113" s="34" t="s">
        <v>12</v>
      </c>
      <c r="H113" s="29"/>
    </row>
    <row r="114" spans="2:8">
      <c r="B114" s="35" t="s">
        <v>22</v>
      </c>
      <c r="C114" s="26"/>
      <c r="D114" s="26" t="s">
        <v>23</v>
      </c>
      <c r="E114" s="26"/>
      <c r="F114" s="21" t="s">
        <v>24</v>
      </c>
      <c r="G114" s="28" t="s">
        <v>25</v>
      </c>
      <c r="H114" s="36"/>
    </row>
    <row r="115" ht="15.75" spans="2:8">
      <c r="B115" s="37" t="s">
        <v>26</v>
      </c>
      <c r="C115" s="38"/>
      <c r="D115" s="38" t="s">
        <v>27</v>
      </c>
      <c r="E115" s="38"/>
      <c r="F115" s="38" t="s">
        <v>28</v>
      </c>
      <c r="G115" s="39" t="s">
        <v>29</v>
      </c>
      <c r="H115" s="40"/>
    </row>
    <row r="116" ht="3.75" customHeight="1" spans="2:8">
      <c r="B116" s="41"/>
      <c r="H116" s="42"/>
    </row>
    <row r="117" ht="39" spans="2:8">
      <c r="B117" s="43" t="s">
        <v>30</v>
      </c>
      <c r="C117" s="44" t="s">
        <v>31</v>
      </c>
      <c r="D117" s="45" t="s">
        <v>32</v>
      </c>
      <c r="E117" s="44" t="s">
        <v>33</v>
      </c>
      <c r="F117" s="44" t="s">
        <v>34</v>
      </c>
      <c r="G117" s="44" t="s">
        <v>35</v>
      </c>
      <c r="H117" s="46" t="s">
        <v>36</v>
      </c>
    </row>
    <row r="118" customHeight="1" spans="2:8">
      <c r="B118" s="47">
        <v>1</v>
      </c>
      <c r="C118" s="48" t="s">
        <v>203</v>
      </c>
      <c r="D118" s="49">
        <v>82073000</v>
      </c>
      <c r="E118" s="50" t="s">
        <v>39</v>
      </c>
      <c r="F118" s="51">
        <v>20</v>
      </c>
      <c r="G118" s="52">
        <v>200</v>
      </c>
      <c r="H118" s="53">
        <f>SUM(F118*G118)</f>
        <v>4000</v>
      </c>
    </row>
    <row r="119" spans="2:8">
      <c r="B119" s="54"/>
      <c r="C119" s="55" t="s">
        <v>204</v>
      </c>
      <c r="D119" s="56"/>
      <c r="E119" s="50"/>
      <c r="F119" s="51"/>
      <c r="G119" s="57"/>
      <c r="H119" s="53"/>
    </row>
    <row r="120" spans="2:8">
      <c r="B120" s="54"/>
      <c r="C120" s="32"/>
      <c r="D120" s="58"/>
      <c r="E120" s="50"/>
      <c r="F120" s="51"/>
      <c r="G120" s="57"/>
      <c r="H120" s="53"/>
    </row>
    <row r="121" spans="2:8">
      <c r="B121" s="54"/>
      <c r="C121" s="60"/>
      <c r="D121" s="61"/>
      <c r="E121" s="50"/>
      <c r="F121" s="51"/>
      <c r="G121" s="57"/>
      <c r="H121" s="53"/>
    </row>
    <row r="122" spans="2:8">
      <c r="B122" s="62"/>
      <c r="C122" s="32"/>
      <c r="D122" s="58"/>
      <c r="E122" s="50"/>
      <c r="F122" s="51"/>
      <c r="G122" s="57"/>
      <c r="H122" s="53"/>
    </row>
    <row r="123" spans="2:8">
      <c r="B123" s="62"/>
      <c r="C123" s="60"/>
      <c r="D123" s="56"/>
      <c r="E123" s="50"/>
      <c r="F123" s="51"/>
      <c r="G123" s="57"/>
      <c r="H123" s="53"/>
    </row>
    <row r="124" spans="2:8">
      <c r="B124" s="62"/>
      <c r="C124" s="32"/>
      <c r="D124" s="63"/>
      <c r="E124" s="50"/>
      <c r="F124" s="51"/>
      <c r="G124" s="57"/>
      <c r="H124" s="53"/>
    </row>
    <row r="125" spans="2:8">
      <c r="B125" s="62"/>
      <c r="C125" s="64"/>
      <c r="D125" s="63"/>
      <c r="E125" s="50"/>
      <c r="F125" s="51"/>
      <c r="G125" s="57"/>
      <c r="H125" s="53"/>
    </row>
    <row r="126" spans="2:8">
      <c r="B126" s="62"/>
      <c r="C126" s="32"/>
      <c r="D126" s="63"/>
      <c r="E126" s="50"/>
      <c r="F126" s="51"/>
      <c r="G126" s="57"/>
      <c r="H126" s="53"/>
    </row>
    <row r="127" spans="2:8">
      <c r="B127" s="62"/>
      <c r="C127" s="65"/>
      <c r="D127" s="27"/>
      <c r="E127" s="27"/>
      <c r="F127" s="66"/>
      <c r="G127" s="57"/>
      <c r="H127" s="53"/>
    </row>
    <row r="128" spans="2:8">
      <c r="B128" s="62"/>
      <c r="C128" s="32"/>
      <c r="D128" s="63"/>
      <c r="E128" s="50"/>
      <c r="F128" s="51"/>
      <c r="G128" s="57"/>
      <c r="H128" s="53"/>
    </row>
    <row r="129" spans="2:8">
      <c r="B129" s="62"/>
      <c r="C129" s="65"/>
      <c r="D129" s="27"/>
      <c r="E129" s="27"/>
      <c r="F129" s="66"/>
      <c r="G129" s="57"/>
      <c r="H129" s="53"/>
    </row>
    <row r="130" spans="2:8">
      <c r="B130" s="62"/>
      <c r="C130" s="67"/>
      <c r="D130" s="63"/>
      <c r="E130" s="50"/>
      <c r="F130" s="51"/>
      <c r="G130" s="68"/>
      <c r="H130" s="69"/>
    </row>
    <row r="131" spans="2:8">
      <c r="B131" s="20"/>
      <c r="C131" s="65"/>
      <c r="D131" s="21"/>
      <c r="E131" s="21"/>
      <c r="F131" s="66"/>
      <c r="G131" s="70"/>
      <c r="H131" s="69"/>
    </row>
    <row r="132" spans="2:8">
      <c r="B132" s="62"/>
      <c r="C132" s="32"/>
      <c r="D132" s="63"/>
      <c r="E132" s="50"/>
      <c r="F132" s="51"/>
      <c r="G132" s="70"/>
      <c r="H132" s="69"/>
    </row>
    <row r="133" spans="2:8">
      <c r="B133" s="20"/>
      <c r="C133" s="65"/>
      <c r="D133" s="21"/>
      <c r="E133" s="21"/>
      <c r="F133" s="66"/>
      <c r="G133" s="70"/>
      <c r="H133" s="69"/>
    </row>
    <row r="134" ht="21" spans="2:8">
      <c r="B134" s="71" t="s">
        <v>42</v>
      </c>
      <c r="C134" s="72"/>
      <c r="D134" s="66" t="s">
        <v>43</v>
      </c>
      <c r="E134" s="73"/>
      <c r="F134" s="27">
        <f>SUM(F118:F133)</f>
        <v>20</v>
      </c>
      <c r="G134" s="21"/>
      <c r="H134" s="74"/>
    </row>
    <row r="135" spans="2:8">
      <c r="B135" s="75"/>
      <c r="C135" s="76"/>
      <c r="D135" s="76"/>
      <c r="E135" s="77"/>
      <c r="F135" s="26" t="s">
        <v>44</v>
      </c>
      <c r="G135" s="26"/>
      <c r="H135" s="78">
        <f>SUM(H118:H134)</f>
        <v>4000</v>
      </c>
    </row>
    <row r="136" spans="2:8">
      <c r="B136" s="79" t="s">
        <v>45</v>
      </c>
      <c r="C136" s="80"/>
      <c r="E136" s="81"/>
      <c r="F136" s="21" t="s">
        <v>46</v>
      </c>
      <c r="G136" s="82">
        <v>0.09</v>
      </c>
      <c r="H136" s="78">
        <f>SUM(H135*G136)</f>
        <v>360</v>
      </c>
    </row>
    <row r="137" spans="2:8">
      <c r="B137" s="83" t="s">
        <v>47</v>
      </c>
      <c r="C137" s="84"/>
      <c r="E137" s="81"/>
      <c r="F137" s="21" t="s">
        <v>48</v>
      </c>
      <c r="G137" s="82">
        <v>0.09</v>
      </c>
      <c r="H137" s="78">
        <f>SUM(H135*G137)</f>
        <v>360</v>
      </c>
    </row>
    <row r="138" spans="2:8">
      <c r="B138" s="83" t="s">
        <v>49</v>
      </c>
      <c r="C138" s="84"/>
      <c r="E138" s="81"/>
      <c r="F138" s="21" t="s">
        <v>50</v>
      </c>
      <c r="G138" s="82">
        <v>0.18</v>
      </c>
      <c r="H138" s="85" t="s">
        <v>51</v>
      </c>
    </row>
    <row r="139" spans="2:8">
      <c r="B139" s="83" t="s">
        <v>52</v>
      </c>
      <c r="C139" s="84"/>
      <c r="E139" s="81"/>
      <c r="F139" s="86" t="s">
        <v>53</v>
      </c>
      <c r="G139" s="87"/>
      <c r="H139" s="78">
        <f>SUM(H136:H138)</f>
        <v>720</v>
      </c>
    </row>
    <row r="140" spans="2:8">
      <c r="B140" s="83" t="s">
        <v>54</v>
      </c>
      <c r="C140" s="84"/>
      <c r="E140" s="81"/>
      <c r="F140" s="88" t="s">
        <v>55</v>
      </c>
      <c r="G140" s="88"/>
      <c r="H140" s="89">
        <f>SUM(H135+H139+H142)</f>
        <v>4720</v>
      </c>
    </row>
    <row r="141" spans="2:8">
      <c r="B141" s="90"/>
      <c r="C141" s="91"/>
      <c r="D141" s="91"/>
      <c r="E141" s="92"/>
      <c r="F141" s="93" t="s">
        <v>56</v>
      </c>
      <c r="G141" s="93"/>
      <c r="H141" s="74"/>
    </row>
    <row r="142" ht="27" customHeight="1" spans="2:8">
      <c r="B142" s="94" t="s">
        <v>205</v>
      </c>
      <c r="C142" s="95"/>
      <c r="D142" s="95"/>
      <c r="E142" s="96"/>
      <c r="F142" s="97" t="s">
        <v>58</v>
      </c>
      <c r="G142" s="98"/>
      <c r="H142" s="99"/>
    </row>
    <row r="143" spans="2:8">
      <c r="B143" s="100" t="s">
        <v>59</v>
      </c>
      <c r="C143" s="101"/>
      <c r="D143" s="101"/>
      <c r="E143" s="102" t="s">
        <v>60</v>
      </c>
      <c r="F143" s="102"/>
      <c r="G143" s="102"/>
      <c r="H143" s="103"/>
    </row>
    <row r="144" ht="18.75" spans="2:8">
      <c r="B144" s="104" t="s">
        <v>61</v>
      </c>
      <c r="E144" s="105" t="s">
        <v>62</v>
      </c>
      <c r="F144" s="105"/>
      <c r="G144" s="105"/>
      <c r="H144" s="106"/>
    </row>
    <row r="145" ht="18.75" spans="2:8">
      <c r="B145" s="108" t="s">
        <v>63</v>
      </c>
      <c r="C145" s="109"/>
      <c r="D145" s="110"/>
      <c r="E145" s="110"/>
      <c r="F145" s="111"/>
      <c r="G145" s="111"/>
      <c r="H145" s="42"/>
    </row>
    <row r="146" spans="2:8">
      <c r="B146" s="112" t="s">
        <v>64</v>
      </c>
      <c r="C146" s="113"/>
      <c r="D146" s="113"/>
      <c r="E146" s="113"/>
      <c r="F146" s="114"/>
      <c r="G146" s="111"/>
      <c r="H146" s="42"/>
    </row>
    <row r="147" spans="2:8">
      <c r="B147" s="112" t="s">
        <v>65</v>
      </c>
      <c r="C147" s="113"/>
      <c r="D147" s="113"/>
      <c r="E147" s="113"/>
      <c r="F147" s="114"/>
      <c r="G147" s="111"/>
      <c r="H147" s="42"/>
    </row>
    <row r="148" spans="2:8">
      <c r="B148" s="41"/>
      <c r="F148" s="111"/>
      <c r="G148" s="111"/>
      <c r="H148" s="42"/>
    </row>
    <row r="149" ht="15.75" spans="2:8">
      <c r="B149" s="115" t="s">
        <v>66</v>
      </c>
      <c r="C149" s="116"/>
      <c r="D149" s="116"/>
      <c r="E149" s="116"/>
      <c r="F149" s="116"/>
      <c r="G149" s="116"/>
      <c r="H149" s="117" t="s">
        <v>67</v>
      </c>
    </row>
  </sheetData>
  <mergeCells count="48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4:C34"/>
    <mergeCell ref="D34:E34"/>
    <mergeCell ref="F39:G39"/>
    <mergeCell ref="B42:E42"/>
    <mergeCell ref="F42:G42"/>
    <mergeCell ref="E43:H43"/>
    <mergeCell ref="E44:H44"/>
    <mergeCell ref="B51:H51"/>
    <mergeCell ref="B52:H52"/>
    <mergeCell ref="B53:H53"/>
    <mergeCell ref="B54:H54"/>
    <mergeCell ref="B55:H55"/>
    <mergeCell ref="B56:H56"/>
    <mergeCell ref="B57:H57"/>
    <mergeCell ref="D58:H58"/>
    <mergeCell ref="G64:H64"/>
    <mergeCell ref="B84:C84"/>
    <mergeCell ref="D84:E84"/>
    <mergeCell ref="F89:G89"/>
    <mergeCell ref="B92:E92"/>
    <mergeCell ref="F92:G92"/>
    <mergeCell ref="E93:H93"/>
    <mergeCell ref="E94:H94"/>
    <mergeCell ref="B101:H101"/>
    <mergeCell ref="B102:H102"/>
    <mergeCell ref="B103:H103"/>
    <mergeCell ref="B104:H104"/>
    <mergeCell ref="B105:H105"/>
    <mergeCell ref="B106:H106"/>
    <mergeCell ref="B107:H107"/>
    <mergeCell ref="D108:H108"/>
    <mergeCell ref="G114:H114"/>
    <mergeCell ref="B134:C134"/>
    <mergeCell ref="D134:E134"/>
    <mergeCell ref="F139:G139"/>
    <mergeCell ref="B142:E142"/>
    <mergeCell ref="F142:G142"/>
    <mergeCell ref="E143:H143"/>
    <mergeCell ref="E144:H144"/>
  </mergeCells>
  <pageMargins left="0.17" right="0.17" top="0.17" bottom="0.17" header="10.9" footer="0.79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X149"/>
  <sheetViews>
    <sheetView tabSelected="1" workbookViewId="0">
      <selection activeCell="M14" sqref="M14"/>
    </sheetView>
  </sheetViews>
  <sheetFormatPr defaultColWidth="9" defaultRowHeight="15"/>
  <cols>
    <col min="1" max="1" width="0.552380952380952" customWidth="1"/>
    <col min="2" max="2" width="3.66666666666667" customWidth="1"/>
    <col min="3" max="3" width="38.8857142857143" customWidth="1"/>
    <col min="4" max="4" width="9.55238095238095" customWidth="1"/>
    <col min="5" max="5" width="7.88571428571429" customWidth="1"/>
    <col min="6" max="6" width="15.8857142857143" customWidth="1"/>
    <col min="7" max="7" width="11.8857142857143" customWidth="1"/>
    <col min="8" max="8" width="11.6666666666667" customWidth="1"/>
    <col min="9" max="9" width="0.666666666666667" customWidth="1"/>
  </cols>
  <sheetData>
    <row r="1" ht="15.75" spans="2:8">
      <c r="B1" s="1" t="s">
        <v>0</v>
      </c>
      <c r="C1" s="1"/>
      <c r="D1" s="1"/>
      <c r="E1" s="1"/>
      <c r="F1" s="1"/>
      <c r="G1" s="1"/>
      <c r="H1" s="1"/>
    </row>
    <row r="2" ht="21" spans="2:8">
      <c r="B2" s="2" t="s">
        <v>1</v>
      </c>
      <c r="C2" s="3"/>
      <c r="D2" s="3"/>
      <c r="E2" s="3"/>
      <c r="F2" s="3"/>
      <c r="G2" s="3"/>
      <c r="H2" s="4"/>
    </row>
    <row r="3" ht="28.5" spans="2:8">
      <c r="B3" s="5" t="s">
        <v>2</v>
      </c>
      <c r="C3" s="6"/>
      <c r="D3" s="6"/>
      <c r="E3" s="6"/>
      <c r="F3" s="6"/>
      <c r="G3" s="6"/>
      <c r="H3" s="7"/>
    </row>
    <row r="4" spans="2:8">
      <c r="B4" s="8" t="s">
        <v>3</v>
      </c>
      <c r="C4" s="9"/>
      <c r="D4" s="9"/>
      <c r="E4" s="9"/>
      <c r="F4" s="9"/>
      <c r="G4" s="9"/>
      <c r="H4" s="10"/>
    </row>
    <row r="5" ht="21.75" spans="2:8">
      <c r="B5" s="11" t="s">
        <v>4</v>
      </c>
      <c r="C5" s="12"/>
      <c r="D5" s="12"/>
      <c r="E5" s="12"/>
      <c r="F5" s="12"/>
      <c r="G5" s="12"/>
      <c r="H5" s="13"/>
    </row>
    <row r="6" spans="2:8">
      <c r="B6" s="14" t="s">
        <v>5</v>
      </c>
      <c r="C6" s="15"/>
      <c r="D6" s="15"/>
      <c r="E6" s="15"/>
      <c r="F6" s="15"/>
      <c r="G6" s="15"/>
      <c r="H6" s="16"/>
    </row>
    <row r="7" spans="2:8">
      <c r="B7" s="17" t="s">
        <v>6</v>
      </c>
      <c r="C7" s="18"/>
      <c r="D7" s="18"/>
      <c r="E7" s="18"/>
      <c r="F7" s="18"/>
      <c r="G7" s="18"/>
      <c r="H7" s="19"/>
    </row>
    <row r="8" ht="15.75" customHeight="1" spans="2:8">
      <c r="B8" s="20" t="s">
        <v>7</v>
      </c>
      <c r="C8" s="21"/>
      <c r="D8" s="22" t="s">
        <v>8</v>
      </c>
      <c r="E8" s="23"/>
      <c r="F8" s="23"/>
      <c r="G8" s="23"/>
      <c r="H8" s="24"/>
    </row>
    <row r="9" ht="21" spans="2:8">
      <c r="B9" s="25" t="s">
        <v>9</v>
      </c>
      <c r="C9" s="21"/>
      <c r="D9" s="26" t="s">
        <v>10</v>
      </c>
      <c r="E9" s="26"/>
      <c r="F9" s="27" t="s">
        <v>206</v>
      </c>
      <c r="G9" s="28" t="s">
        <v>12</v>
      </c>
      <c r="H9" s="29">
        <v>46294</v>
      </c>
    </row>
    <row r="10" spans="2:8">
      <c r="B10" s="20" t="s">
        <v>13</v>
      </c>
      <c r="C10" s="21"/>
      <c r="D10" s="26" t="s">
        <v>14</v>
      </c>
      <c r="E10" s="26"/>
      <c r="F10" s="27" t="s">
        <v>206</v>
      </c>
      <c r="G10" s="28" t="s">
        <v>12</v>
      </c>
      <c r="H10" s="29">
        <v>46294</v>
      </c>
    </row>
    <row r="11" spans="2:8">
      <c r="B11" s="20" t="s">
        <v>15</v>
      </c>
      <c r="C11" s="21"/>
      <c r="D11" s="26" t="s">
        <v>16</v>
      </c>
      <c r="E11" s="26"/>
      <c r="F11" s="30" t="s">
        <v>207</v>
      </c>
      <c r="G11" s="31" t="s">
        <v>12</v>
      </c>
      <c r="H11" s="29" t="s">
        <v>208</v>
      </c>
    </row>
    <row r="12" spans="2:8">
      <c r="B12" s="20" t="s">
        <v>17</v>
      </c>
      <c r="C12" s="21"/>
      <c r="D12" s="26" t="s">
        <v>18</v>
      </c>
      <c r="E12" s="26"/>
      <c r="F12" s="32" t="s">
        <v>209</v>
      </c>
      <c r="G12" s="31" t="s">
        <v>12</v>
      </c>
      <c r="H12" s="29">
        <v>46294</v>
      </c>
    </row>
    <row r="13" spans="2:8">
      <c r="B13" s="20" t="s">
        <v>20</v>
      </c>
      <c r="C13" s="21"/>
      <c r="D13" s="26" t="s">
        <v>21</v>
      </c>
      <c r="E13" s="26"/>
      <c r="F13" s="33"/>
      <c r="G13" s="34" t="s">
        <v>12</v>
      </c>
      <c r="H13" s="29"/>
    </row>
    <row r="14" spans="2:8">
      <c r="B14" s="35" t="s">
        <v>22</v>
      </c>
      <c r="C14" s="26"/>
      <c r="D14" s="26" t="s">
        <v>23</v>
      </c>
      <c r="E14" s="26"/>
      <c r="F14" s="21" t="s">
        <v>24</v>
      </c>
      <c r="G14" s="28" t="s">
        <v>25</v>
      </c>
      <c r="H14" s="36"/>
    </row>
    <row r="15" ht="15.75" spans="2:8">
      <c r="B15" s="37" t="s">
        <v>26</v>
      </c>
      <c r="C15" s="38"/>
      <c r="D15" s="38" t="s">
        <v>27</v>
      </c>
      <c r="E15" s="38"/>
      <c r="F15" s="38" t="s">
        <v>28</v>
      </c>
      <c r="G15" s="39" t="s">
        <v>29</v>
      </c>
      <c r="H15" s="40"/>
    </row>
    <row r="16" ht="3.75" customHeight="1" spans="2:8">
      <c r="B16" s="41"/>
      <c r="H16" s="42"/>
    </row>
    <row r="17" ht="39" spans="2:13">
      <c r="B17" s="43" t="s">
        <v>30</v>
      </c>
      <c r="C17" s="44" t="s">
        <v>31</v>
      </c>
      <c r="D17" s="45" t="s">
        <v>32</v>
      </c>
      <c r="E17" s="44" t="s">
        <v>33</v>
      </c>
      <c r="F17" s="44" t="s">
        <v>34</v>
      </c>
      <c r="G17" s="44" t="s">
        <v>35</v>
      </c>
      <c r="H17" s="46" t="s">
        <v>36</v>
      </c>
      <c r="M17" t="s">
        <v>37</v>
      </c>
    </row>
    <row r="18" customHeight="1" spans="2:13">
      <c r="B18" s="47">
        <v>1</v>
      </c>
      <c r="C18" s="48" t="s">
        <v>210</v>
      </c>
      <c r="D18" s="49">
        <v>84663020</v>
      </c>
      <c r="E18" s="50" t="s">
        <v>39</v>
      </c>
      <c r="F18" s="51">
        <v>2</v>
      </c>
      <c r="G18" s="52">
        <v>12100</v>
      </c>
      <c r="H18" s="53">
        <f>SUM(F18*G18)</f>
        <v>24200</v>
      </c>
    </row>
    <row r="19" spans="2:13">
      <c r="B19" s="54"/>
      <c r="C19" s="55" t="s">
        <v>211</v>
      </c>
      <c r="D19" s="56"/>
      <c r="E19" s="50"/>
      <c r="F19" s="51"/>
      <c r="G19" s="57"/>
      <c r="H19" s="53"/>
    </row>
    <row r="20" customHeight="1" spans="2:13">
      <c r="B20" s="54"/>
      <c r="C20" s="32"/>
      <c r="D20" s="58"/>
      <c r="E20" s="50"/>
      <c r="F20" s="51"/>
      <c r="G20" s="57"/>
      <c r="H20" s="53"/>
      <c r="L20" s="59"/>
    </row>
    <row r="21" customHeight="1" spans="2:13">
      <c r="B21" s="54"/>
      <c r="C21" s="60"/>
      <c r="D21" s="61"/>
      <c r="E21" s="50"/>
      <c r="F21" s="51"/>
      <c r="G21" s="57"/>
      <c r="H21" s="53"/>
      <c r="L21" s="59"/>
    </row>
    <row r="22" spans="2:13">
      <c r="B22" s="62"/>
      <c r="C22" s="32"/>
      <c r="D22" s="58"/>
      <c r="E22" s="50"/>
      <c r="F22" s="51"/>
      <c r="G22" s="57"/>
      <c r="H22" s="53"/>
    </row>
    <row r="23" customHeight="1" spans="2:13">
      <c r="B23" s="62"/>
      <c r="C23" s="60"/>
      <c r="D23" s="56"/>
      <c r="E23" s="50"/>
      <c r="F23" s="51"/>
      <c r="G23" s="57"/>
      <c r="H23" s="53"/>
    </row>
    <row r="24" spans="2:13">
      <c r="B24" s="62"/>
      <c r="C24" s="32"/>
      <c r="D24" s="63"/>
      <c r="E24" s="50"/>
      <c r="F24" s="51"/>
      <c r="G24" s="57"/>
      <c r="H24" s="53"/>
    </row>
    <row r="25" spans="2:13">
      <c r="B25" s="62"/>
      <c r="C25" s="64"/>
      <c r="D25" s="63"/>
      <c r="E25" s="50"/>
      <c r="F25" s="51"/>
      <c r="G25" s="57"/>
      <c r="H25" s="53"/>
    </row>
    <row r="26" spans="2:13">
      <c r="B26" s="62"/>
      <c r="C26" s="32"/>
      <c r="D26" s="63"/>
      <c r="E26" s="50"/>
      <c r="F26" s="51"/>
      <c r="G26" s="57"/>
      <c r="H26" s="53"/>
    </row>
    <row r="27" spans="2:13">
      <c r="B27" s="62"/>
      <c r="C27" s="65"/>
      <c r="D27" s="27"/>
      <c r="E27" s="27"/>
      <c r="F27" s="66"/>
      <c r="G27" s="57"/>
      <c r="H27" s="53"/>
    </row>
    <row r="28" spans="2:13">
      <c r="B28" s="62"/>
      <c r="C28" s="32"/>
      <c r="D28" s="63"/>
      <c r="E28" s="50"/>
      <c r="F28" s="51"/>
      <c r="G28" s="57"/>
      <c r="H28" s="53"/>
    </row>
    <row r="29" spans="2:13">
      <c r="B29" s="62"/>
      <c r="C29" s="65"/>
      <c r="D29" s="27"/>
      <c r="E29" s="27"/>
      <c r="F29" s="66"/>
      <c r="G29" s="57"/>
      <c r="H29" s="53"/>
    </row>
    <row r="30" customHeight="1" spans="2:13">
      <c r="B30" s="62"/>
      <c r="C30" s="67"/>
      <c r="D30" s="63"/>
      <c r="E30" s="50"/>
      <c r="F30" s="51"/>
      <c r="G30" s="68"/>
      <c r="H30" s="69"/>
    </row>
    <row r="31" customHeight="1" spans="2:13">
      <c r="B31" s="20"/>
      <c r="C31" s="65"/>
      <c r="D31" s="21"/>
      <c r="E31" s="21"/>
      <c r="F31" s="66"/>
      <c r="G31" s="70"/>
      <c r="H31" s="69"/>
    </row>
    <row r="32" customHeight="1" spans="2:13">
      <c r="B32" s="62"/>
      <c r="C32" s="32"/>
      <c r="D32" s="63"/>
      <c r="E32" s="50"/>
      <c r="F32" s="51"/>
      <c r="G32" s="70"/>
      <c r="H32" s="69"/>
    </row>
    <row r="33" customHeight="1" spans="2:9">
      <c r="B33" s="20"/>
      <c r="C33" s="65"/>
      <c r="D33" s="21"/>
      <c r="E33" s="21"/>
      <c r="F33" s="66"/>
      <c r="G33" s="70"/>
      <c r="H33" s="69"/>
    </row>
    <row r="34" customHeight="1" spans="2:9">
      <c r="B34" s="71" t="s">
        <v>42</v>
      </c>
      <c r="C34" s="72"/>
      <c r="D34" s="66" t="s">
        <v>43</v>
      </c>
      <c r="E34" s="73"/>
      <c r="F34" s="27">
        <f>SUM(F18:F33)</f>
        <v>2</v>
      </c>
      <c r="G34" s="21"/>
      <c r="H34" s="74"/>
    </row>
    <row r="35" spans="2:9">
      <c r="B35" s="75"/>
      <c r="C35" s="76"/>
      <c r="D35" s="76"/>
      <c r="E35" s="77"/>
      <c r="F35" s="26" t="s">
        <v>44</v>
      </c>
      <c r="G35" s="26"/>
      <c r="H35" s="78">
        <f>SUM(H18:H34)</f>
        <v>24200</v>
      </c>
    </row>
    <row r="36" spans="2:9">
      <c r="B36" s="79" t="s">
        <v>45</v>
      </c>
      <c r="C36" s="80"/>
      <c r="E36" s="81"/>
      <c r="F36" s="21" t="s">
        <v>46</v>
      </c>
      <c r="G36" s="82">
        <v>0.09</v>
      </c>
      <c r="H36" s="78">
        <f>SUM(H35*G36)</f>
        <v>2178</v>
      </c>
    </row>
    <row r="37" spans="2:9">
      <c r="B37" s="83" t="s">
        <v>47</v>
      </c>
      <c r="C37" s="84"/>
      <c r="E37" s="81"/>
      <c r="F37" s="21" t="s">
        <v>48</v>
      </c>
      <c r="G37" s="82">
        <v>0.09</v>
      </c>
      <c r="H37" s="78">
        <f>SUM(H35*G37)</f>
        <v>2178</v>
      </c>
    </row>
    <row r="38" spans="2:9">
      <c r="B38" s="83" t="s">
        <v>49</v>
      </c>
      <c r="C38" s="84"/>
      <c r="E38" s="81"/>
      <c r="F38" s="21" t="s">
        <v>50</v>
      </c>
      <c r="G38" s="82">
        <v>0.18</v>
      </c>
      <c r="H38" s="85" t="s">
        <v>51</v>
      </c>
    </row>
    <row r="39" spans="2:9">
      <c r="B39" s="83" t="s">
        <v>52</v>
      </c>
      <c r="C39" s="84"/>
      <c r="E39" s="81"/>
      <c r="F39" s="86" t="s">
        <v>53</v>
      </c>
      <c r="G39" s="87"/>
      <c r="H39" s="78">
        <f>SUM(H36:H38)</f>
        <v>4356</v>
      </c>
    </row>
    <row r="40" spans="2:9">
      <c r="B40" s="83" t="s">
        <v>54</v>
      </c>
      <c r="C40" s="84"/>
      <c r="E40" s="81"/>
      <c r="F40" s="88" t="s">
        <v>55</v>
      </c>
      <c r="G40" s="88"/>
      <c r="H40" s="89">
        <f>SUM(H35+H39+H42)</f>
        <v>28556</v>
      </c>
    </row>
    <row r="41" spans="2:9">
      <c r="B41" s="90"/>
      <c r="C41" s="91"/>
      <c r="D41" s="91"/>
      <c r="E41" s="92"/>
      <c r="F41" s="93" t="s">
        <v>56</v>
      </c>
      <c r="G41" s="93"/>
      <c r="H41" s="74"/>
    </row>
    <row r="42" ht="29.4" customHeight="1" spans="2:9">
      <c r="B42" s="94" t="s">
        <v>212</v>
      </c>
      <c r="C42" s="95"/>
      <c r="D42" s="95"/>
      <c r="E42" s="96"/>
      <c r="F42" s="97" t="s">
        <v>58</v>
      </c>
      <c r="G42" s="98"/>
      <c r="H42" s="99"/>
    </row>
    <row r="43" ht="27.6" customHeight="1" spans="2:9">
      <c r="B43" s="100" t="s">
        <v>59</v>
      </c>
      <c r="C43" s="101"/>
      <c r="D43" s="101"/>
      <c r="E43" s="102" t="s">
        <v>60</v>
      </c>
      <c r="F43" s="102"/>
      <c r="G43" s="102"/>
      <c r="H43" s="103"/>
    </row>
    <row r="44" ht="18.75" spans="2:9">
      <c r="B44" s="104" t="s">
        <v>61</v>
      </c>
      <c r="E44" s="105" t="s">
        <v>62</v>
      </c>
      <c r="F44" s="105"/>
      <c r="G44" s="105"/>
      <c r="H44" s="106"/>
      <c r="I44" s="107"/>
    </row>
    <row r="45" ht="18.75" spans="2:9">
      <c r="B45" s="108" t="s">
        <v>63</v>
      </c>
      <c r="C45" s="109"/>
      <c r="D45" s="110"/>
      <c r="E45" s="110"/>
      <c r="F45" s="111"/>
      <c r="G45" s="111"/>
      <c r="H45" s="42"/>
    </row>
    <row r="46" spans="2:9">
      <c r="B46" s="112" t="s">
        <v>64</v>
      </c>
      <c r="C46" s="113"/>
      <c r="D46" s="113"/>
      <c r="E46" s="113"/>
      <c r="F46" s="114"/>
      <c r="G46" s="111"/>
      <c r="H46" s="42"/>
    </row>
    <row r="47" spans="2:9">
      <c r="B47" s="112" t="s">
        <v>65</v>
      </c>
      <c r="C47" s="113"/>
      <c r="D47" s="113"/>
      <c r="E47" s="113"/>
      <c r="F47" s="114"/>
      <c r="G47" s="111"/>
      <c r="H47" s="42"/>
    </row>
    <row r="48" spans="2:9">
      <c r="B48" s="41"/>
      <c r="F48" s="111"/>
      <c r="G48" s="111"/>
      <c r="H48" s="42"/>
    </row>
    <row r="49" ht="15.75" spans="2:24">
      <c r="B49" s="115" t="s">
        <v>66</v>
      </c>
      <c r="C49" s="116"/>
      <c r="D49" s="116"/>
      <c r="E49" s="116"/>
      <c r="F49" s="116"/>
      <c r="G49" s="116"/>
      <c r="H49" s="117" t="s">
        <v>67</v>
      </c>
    </row>
    <row r="50" spans="2:24">
      <c r="H50" s="118"/>
    </row>
    <row r="51" ht="15.75" customHeight="1" spans="2:24">
      <c r="B51" s="1" t="s">
        <v>68</v>
      </c>
      <c r="C51" s="1"/>
      <c r="D51" s="1"/>
      <c r="E51" s="1"/>
      <c r="F51" s="1"/>
      <c r="G51" s="1"/>
      <c r="H51" s="1"/>
    </row>
    <row r="52" ht="21" spans="2:24">
      <c r="B52" s="2" t="s">
        <v>1</v>
      </c>
      <c r="C52" s="3"/>
      <c r="D52" s="3"/>
      <c r="E52" s="3"/>
      <c r="F52" s="3"/>
      <c r="G52" s="3"/>
      <c r="H52" s="4"/>
    </row>
    <row r="53" ht="28.5" spans="2:24">
      <c r="B53" s="5" t="s">
        <v>2</v>
      </c>
      <c r="C53" s="6"/>
      <c r="D53" s="6"/>
      <c r="E53" s="6"/>
      <c r="F53" s="6"/>
      <c r="G53" s="6"/>
      <c r="H53" s="7"/>
    </row>
    <row r="54" spans="2:24">
      <c r="B54" s="8" t="s">
        <v>3</v>
      </c>
      <c r="C54" s="9"/>
      <c r="D54" s="9"/>
      <c r="E54" s="9"/>
      <c r="F54" s="9"/>
      <c r="G54" s="9"/>
      <c r="H54" s="10"/>
    </row>
    <row r="55" ht="21.75" spans="2:24">
      <c r="B55" s="11" t="s">
        <v>4</v>
      </c>
      <c r="C55" s="12"/>
      <c r="D55" s="12"/>
      <c r="E55" s="12"/>
      <c r="F55" s="12"/>
      <c r="G55" s="12"/>
      <c r="H55" s="13"/>
    </row>
    <row r="56" spans="2:24">
      <c r="B56" s="14" t="s">
        <v>5</v>
      </c>
      <c r="C56" s="15"/>
      <c r="D56" s="15"/>
      <c r="E56" s="15"/>
      <c r="F56" s="15"/>
      <c r="G56" s="15"/>
      <c r="H56" s="16"/>
    </row>
    <row r="57" spans="2:24">
      <c r="B57" s="17" t="s">
        <v>6</v>
      </c>
      <c r="C57" s="18"/>
      <c r="D57" s="18"/>
      <c r="E57" s="18"/>
      <c r="F57" s="18"/>
      <c r="G57" s="18"/>
      <c r="H57" s="19"/>
      <c r="X57" s="119"/>
    </row>
    <row r="58" ht="15.75" customHeight="1" spans="2:24">
      <c r="B58" s="20" t="s">
        <v>7</v>
      </c>
      <c r="C58" s="21"/>
      <c r="D58" s="22" t="s">
        <v>8</v>
      </c>
      <c r="E58" s="23"/>
      <c r="F58" s="23"/>
      <c r="G58" s="23"/>
      <c r="H58" s="24"/>
    </row>
    <row r="59" ht="21" spans="2:24">
      <c r="B59" s="25" t="s">
        <v>9</v>
      </c>
      <c r="C59" s="21"/>
      <c r="D59" s="26" t="s">
        <v>10</v>
      </c>
      <c r="E59" s="26"/>
      <c r="F59" s="27" t="s">
        <v>206</v>
      </c>
      <c r="G59" s="28" t="s">
        <v>12</v>
      </c>
      <c r="H59" s="29">
        <v>46294</v>
      </c>
    </row>
    <row r="60" spans="2:24">
      <c r="B60" s="20" t="s">
        <v>13</v>
      </c>
      <c r="C60" s="21"/>
      <c r="D60" s="26" t="s">
        <v>14</v>
      </c>
      <c r="E60" s="26"/>
      <c r="F60" s="27" t="s">
        <v>206</v>
      </c>
      <c r="G60" s="28" t="s">
        <v>12</v>
      </c>
      <c r="H60" s="29">
        <v>46294</v>
      </c>
    </row>
    <row r="61" spans="2:24">
      <c r="B61" s="20" t="s">
        <v>15</v>
      </c>
      <c r="C61" s="21"/>
      <c r="D61" s="26" t="s">
        <v>16</v>
      </c>
      <c r="E61" s="26"/>
      <c r="F61" s="30"/>
      <c r="G61" s="31" t="s">
        <v>12</v>
      </c>
      <c r="H61" s="29"/>
    </row>
    <row r="62" spans="2:24">
      <c r="B62" s="20" t="s">
        <v>17</v>
      </c>
      <c r="C62" s="21"/>
      <c r="D62" s="26" t="s">
        <v>18</v>
      </c>
      <c r="E62" s="26"/>
      <c r="F62" s="32" t="s">
        <v>209</v>
      </c>
      <c r="G62" s="31" t="s">
        <v>12</v>
      </c>
      <c r="H62" s="29">
        <v>46294</v>
      </c>
    </row>
    <row r="63" spans="2:24">
      <c r="B63" s="20" t="s">
        <v>20</v>
      </c>
      <c r="C63" s="21"/>
      <c r="D63" s="26" t="s">
        <v>21</v>
      </c>
      <c r="E63" s="26"/>
      <c r="F63" s="33"/>
      <c r="G63" s="34" t="s">
        <v>12</v>
      </c>
      <c r="H63" s="29"/>
    </row>
    <row r="64" spans="2:24">
      <c r="B64" s="35" t="s">
        <v>22</v>
      </c>
      <c r="C64" s="26"/>
      <c r="D64" s="26" t="s">
        <v>23</v>
      </c>
      <c r="E64" s="26"/>
      <c r="F64" s="21" t="s">
        <v>24</v>
      </c>
      <c r="G64" s="28" t="s">
        <v>25</v>
      </c>
      <c r="H64" s="36"/>
    </row>
    <row r="65" ht="15.75" spans="2:8">
      <c r="B65" s="37" t="s">
        <v>26</v>
      </c>
      <c r="C65" s="38"/>
      <c r="D65" s="38" t="s">
        <v>27</v>
      </c>
      <c r="E65" s="38"/>
      <c r="F65" s="38" t="s">
        <v>28</v>
      </c>
      <c r="G65" s="39" t="s">
        <v>29</v>
      </c>
      <c r="H65" s="40"/>
    </row>
    <row r="66" ht="4.5" customHeight="1" spans="2:8">
      <c r="B66" s="41"/>
      <c r="H66" s="42"/>
    </row>
    <row r="67" ht="39" spans="2:8">
      <c r="B67" s="43" t="s">
        <v>30</v>
      </c>
      <c r="C67" s="44" t="s">
        <v>31</v>
      </c>
      <c r="D67" s="45" t="s">
        <v>32</v>
      </c>
      <c r="E67" s="44" t="s">
        <v>33</v>
      </c>
      <c r="F67" s="44" t="s">
        <v>34</v>
      </c>
      <c r="G67" s="44" t="s">
        <v>35</v>
      </c>
      <c r="H67" s="46" t="s">
        <v>36</v>
      </c>
    </row>
    <row r="68" customHeight="1" spans="2:8">
      <c r="B68" s="47">
        <v>1</v>
      </c>
      <c r="C68" s="48" t="s">
        <v>210</v>
      </c>
      <c r="D68" s="49">
        <v>84663020</v>
      </c>
      <c r="E68" s="50" t="s">
        <v>39</v>
      </c>
      <c r="F68" s="51">
        <v>2</v>
      </c>
      <c r="G68" s="52">
        <v>12100</v>
      </c>
      <c r="H68" s="53">
        <f>SUM(F68*G68)</f>
        <v>24200</v>
      </c>
    </row>
    <row r="69" spans="2:8">
      <c r="B69" s="54"/>
      <c r="C69" s="55" t="s">
        <v>211</v>
      </c>
      <c r="D69" s="56"/>
      <c r="E69" s="50"/>
      <c r="F69" s="51"/>
      <c r="G69" s="57"/>
      <c r="H69" s="53"/>
    </row>
    <row r="70" customHeight="1" spans="2:8">
      <c r="B70" s="54"/>
      <c r="C70" s="32"/>
      <c r="D70" s="58"/>
      <c r="E70" s="50"/>
      <c r="F70" s="51"/>
      <c r="G70" s="57"/>
      <c r="H70" s="53"/>
    </row>
    <row r="71" spans="2:8">
      <c r="B71" s="54"/>
      <c r="C71" s="60"/>
      <c r="D71" s="61"/>
      <c r="E71" s="50"/>
      <c r="F71" s="51"/>
      <c r="G71" s="57"/>
      <c r="H71" s="53"/>
    </row>
    <row r="72" customHeight="1" spans="2:8">
      <c r="B72" s="62"/>
      <c r="C72" s="32"/>
      <c r="D72" s="58"/>
      <c r="E72" s="50"/>
      <c r="F72" s="51"/>
      <c r="G72" s="57"/>
      <c r="H72" s="53"/>
    </row>
    <row r="73" spans="2:8">
      <c r="B73" s="62"/>
      <c r="C73" s="60"/>
      <c r="D73" s="56"/>
      <c r="E73" s="50"/>
      <c r="F73" s="51"/>
      <c r="G73" s="57"/>
      <c r="H73" s="53"/>
    </row>
    <row r="74" spans="2:8">
      <c r="B74" s="62"/>
      <c r="C74" s="32"/>
      <c r="D74" s="63"/>
      <c r="E74" s="50"/>
      <c r="F74" s="51"/>
      <c r="G74" s="57"/>
      <c r="H74" s="53"/>
    </row>
    <row r="75" spans="2:8">
      <c r="B75" s="62"/>
      <c r="C75" s="64"/>
      <c r="D75" s="63"/>
      <c r="E75" s="50"/>
      <c r="F75" s="51"/>
      <c r="G75" s="57"/>
      <c r="H75" s="53"/>
    </row>
    <row r="76" spans="2:8">
      <c r="B76" s="62"/>
      <c r="C76" s="32"/>
      <c r="D76" s="63"/>
      <c r="E76" s="50"/>
      <c r="F76" s="51"/>
      <c r="G76" s="57"/>
      <c r="H76" s="53"/>
    </row>
    <row r="77" spans="2:8">
      <c r="B77" s="62"/>
      <c r="C77" s="65"/>
      <c r="D77" s="27"/>
      <c r="E77" s="27"/>
      <c r="F77" s="66"/>
      <c r="G77" s="57"/>
      <c r="H77" s="53"/>
    </row>
    <row r="78" spans="2:8">
      <c r="B78" s="62"/>
      <c r="C78" s="32"/>
      <c r="D78" s="63"/>
      <c r="E78" s="50"/>
      <c r="F78" s="51"/>
      <c r="G78" s="57"/>
      <c r="H78" s="53"/>
    </row>
    <row r="79" spans="2:8">
      <c r="B79" s="62"/>
      <c r="C79" s="65"/>
      <c r="D79" s="27"/>
      <c r="E79" s="27"/>
      <c r="F79" s="66"/>
      <c r="G79" s="57"/>
      <c r="H79" s="53"/>
    </row>
    <row r="80" spans="2:8">
      <c r="B80" s="62"/>
      <c r="C80" s="67"/>
      <c r="D80" s="63"/>
      <c r="E80" s="50"/>
      <c r="F80" s="51"/>
      <c r="G80" s="68"/>
      <c r="H80" s="69"/>
    </row>
    <row r="81" spans="2:9">
      <c r="B81" s="20"/>
      <c r="C81" s="65"/>
      <c r="D81" s="21"/>
      <c r="E81" s="21"/>
      <c r="F81" s="66"/>
      <c r="G81" s="70"/>
      <c r="H81" s="69"/>
    </row>
    <row r="82" spans="2:9">
      <c r="B82" s="62"/>
      <c r="C82" s="32"/>
      <c r="D82" s="63"/>
      <c r="E82" s="50"/>
      <c r="F82" s="51"/>
      <c r="G82" s="70"/>
      <c r="H82" s="69"/>
    </row>
    <row r="83" spans="2:9">
      <c r="B83" s="20"/>
      <c r="C83" s="65"/>
      <c r="D83" s="21"/>
      <c r="E83" s="21"/>
      <c r="F83" s="66"/>
      <c r="G83" s="70"/>
      <c r="H83" s="69"/>
    </row>
    <row r="84" ht="21" spans="2:9">
      <c r="B84" s="71" t="s">
        <v>42</v>
      </c>
      <c r="C84" s="72"/>
      <c r="D84" s="66" t="s">
        <v>43</v>
      </c>
      <c r="E84" s="73"/>
      <c r="F84" s="27">
        <f>SUM(F68:F83)</f>
        <v>2</v>
      </c>
      <c r="G84" s="21"/>
      <c r="H84" s="74"/>
    </row>
    <row r="85" spans="2:9">
      <c r="B85" s="75"/>
      <c r="C85" s="76"/>
      <c r="D85" s="76"/>
      <c r="E85" s="77"/>
      <c r="F85" s="26" t="s">
        <v>44</v>
      </c>
      <c r="G85" s="26"/>
      <c r="H85" s="78">
        <f>SUM(H68:H84)</f>
        <v>24200</v>
      </c>
    </row>
    <row r="86" spans="2:9">
      <c r="B86" s="79" t="s">
        <v>45</v>
      </c>
      <c r="C86" s="80"/>
      <c r="E86" s="81"/>
      <c r="F86" s="21" t="s">
        <v>46</v>
      </c>
      <c r="G86" s="82">
        <v>0.09</v>
      </c>
      <c r="H86" s="78">
        <f>SUM(H85*G86)</f>
        <v>2178</v>
      </c>
    </row>
    <row r="87" spans="2:9">
      <c r="B87" s="83" t="s">
        <v>47</v>
      </c>
      <c r="C87" s="84"/>
      <c r="E87" s="81"/>
      <c r="F87" s="21" t="s">
        <v>48</v>
      </c>
      <c r="G87" s="82">
        <v>0.09</v>
      </c>
      <c r="H87" s="78">
        <f>SUM(H85*G87)</f>
        <v>2178</v>
      </c>
    </row>
    <row r="88" spans="2:9">
      <c r="B88" s="83" t="s">
        <v>49</v>
      </c>
      <c r="C88" s="84"/>
      <c r="E88" s="81"/>
      <c r="F88" s="21" t="s">
        <v>50</v>
      </c>
      <c r="G88" s="82">
        <v>0.18</v>
      </c>
      <c r="H88" s="85" t="s">
        <v>51</v>
      </c>
    </row>
    <row r="89" spans="2:9">
      <c r="B89" s="83" t="s">
        <v>52</v>
      </c>
      <c r="C89" s="84"/>
      <c r="E89" s="81"/>
      <c r="F89" s="86" t="s">
        <v>53</v>
      </c>
      <c r="G89" s="87"/>
      <c r="H89" s="78">
        <f>SUM(H86:H88)</f>
        <v>4356</v>
      </c>
    </row>
    <row r="90" customHeight="1" spans="2:9">
      <c r="B90" s="83" t="s">
        <v>54</v>
      </c>
      <c r="C90" s="84"/>
      <c r="E90" s="81"/>
      <c r="F90" s="88" t="s">
        <v>55</v>
      </c>
      <c r="G90" s="88"/>
      <c r="H90" s="89">
        <f>SUM(H85+H89+H92)</f>
        <v>28556</v>
      </c>
    </row>
    <row r="91" spans="2:9">
      <c r="B91" s="90"/>
      <c r="C91" s="91"/>
      <c r="D91" s="91"/>
      <c r="E91" s="92"/>
      <c r="F91" s="93" t="s">
        <v>56</v>
      </c>
      <c r="G91" s="93"/>
      <c r="H91" s="74"/>
      <c r="I91" s="59"/>
    </row>
    <row r="92" ht="29.4" customHeight="1" spans="2:9">
      <c r="B92" s="94" t="s">
        <v>212</v>
      </c>
      <c r="C92" s="95"/>
      <c r="D92" s="95"/>
      <c r="E92" s="96"/>
      <c r="F92" s="97" t="s">
        <v>58</v>
      </c>
      <c r="G92" s="98"/>
      <c r="H92" s="99"/>
    </row>
    <row r="93" ht="29.25" customHeight="1" spans="2:9">
      <c r="B93" s="100" t="s">
        <v>59</v>
      </c>
      <c r="C93" s="101"/>
      <c r="D93" s="101"/>
      <c r="E93" s="102" t="s">
        <v>60</v>
      </c>
      <c r="F93" s="102"/>
      <c r="G93" s="102"/>
      <c r="H93" s="103"/>
    </row>
    <row r="94" ht="18.75" spans="2:9">
      <c r="B94" s="104" t="s">
        <v>61</v>
      </c>
      <c r="E94" s="105" t="s">
        <v>62</v>
      </c>
      <c r="F94" s="105"/>
      <c r="G94" s="105"/>
      <c r="H94" s="106"/>
    </row>
    <row r="95" ht="18.75" spans="2:9">
      <c r="B95" s="108" t="s">
        <v>63</v>
      </c>
      <c r="C95" s="109"/>
      <c r="D95" s="110"/>
      <c r="E95" s="110"/>
      <c r="F95" s="111"/>
      <c r="G95" s="111"/>
      <c r="H95" s="42"/>
    </row>
    <row r="96" spans="2:9">
      <c r="B96" s="112" t="s">
        <v>64</v>
      </c>
      <c r="C96" s="113"/>
      <c r="D96" s="113"/>
      <c r="E96" s="113"/>
      <c r="F96" s="114"/>
      <c r="G96" s="111"/>
      <c r="H96" s="42"/>
    </row>
    <row r="97" spans="2:8">
      <c r="B97" s="112" t="s">
        <v>65</v>
      </c>
      <c r="C97" s="113"/>
      <c r="D97" s="113"/>
      <c r="E97" s="113"/>
      <c r="F97" s="114"/>
      <c r="G97" s="111"/>
      <c r="H97" s="42"/>
    </row>
    <row r="98" spans="2:8">
      <c r="B98" s="41"/>
      <c r="F98" s="111"/>
      <c r="G98" s="111"/>
      <c r="H98" s="42"/>
    </row>
    <row r="99" ht="15.75" spans="2:8">
      <c r="B99" s="115" t="s">
        <v>66</v>
      </c>
      <c r="C99" s="116"/>
      <c r="D99" s="116"/>
      <c r="E99" s="116"/>
      <c r="F99" s="116"/>
      <c r="G99" s="116"/>
      <c r="H99" s="117" t="s">
        <v>67</v>
      </c>
    </row>
    <row r="100" spans="2:8">
      <c r="H100" s="118"/>
    </row>
    <row r="101" ht="18" customHeight="1" spans="2:8">
      <c r="B101" s="120" t="s">
        <v>69</v>
      </c>
      <c r="C101" s="120"/>
      <c r="D101" s="120"/>
      <c r="E101" s="120"/>
      <c r="F101" s="120"/>
      <c r="G101" s="120"/>
      <c r="H101" s="120"/>
    </row>
    <row r="102" ht="21" spans="2:8">
      <c r="B102" s="2" t="s">
        <v>1</v>
      </c>
      <c r="C102" s="3"/>
      <c r="D102" s="3"/>
      <c r="E102" s="3"/>
      <c r="F102" s="3"/>
      <c r="G102" s="3"/>
      <c r="H102" s="4"/>
    </row>
    <row r="103" ht="28.5" spans="2:8">
      <c r="B103" s="5" t="s">
        <v>2</v>
      </c>
      <c r="C103" s="6"/>
      <c r="D103" s="6"/>
      <c r="E103" s="6"/>
      <c r="F103" s="6"/>
      <c r="G103" s="6"/>
      <c r="H103" s="7"/>
    </row>
    <row r="104" spans="2:8">
      <c r="B104" s="8" t="s">
        <v>3</v>
      </c>
      <c r="C104" s="9"/>
      <c r="D104" s="9"/>
      <c r="E104" s="9"/>
      <c r="F104" s="9"/>
      <c r="G104" s="9"/>
      <c r="H104" s="10"/>
    </row>
    <row r="105" ht="21.75" spans="2:8">
      <c r="B105" s="11" t="s">
        <v>4</v>
      </c>
      <c r="C105" s="12"/>
      <c r="D105" s="12"/>
      <c r="E105" s="12"/>
      <c r="F105" s="12"/>
      <c r="G105" s="12"/>
      <c r="H105" s="13"/>
    </row>
    <row r="106" spans="2:8">
      <c r="B106" s="14" t="s">
        <v>5</v>
      </c>
      <c r="C106" s="15"/>
      <c r="D106" s="15"/>
      <c r="E106" s="15"/>
      <c r="F106" s="15"/>
      <c r="G106" s="15"/>
      <c r="H106" s="16"/>
    </row>
    <row r="107" spans="2:8">
      <c r="B107" s="17" t="s">
        <v>6</v>
      </c>
      <c r="C107" s="18"/>
      <c r="D107" s="18"/>
      <c r="E107" s="18"/>
      <c r="F107" s="18"/>
      <c r="G107" s="18"/>
      <c r="H107" s="19"/>
    </row>
    <row r="108" ht="15.75" customHeight="1" spans="2:8">
      <c r="B108" s="20" t="s">
        <v>7</v>
      </c>
      <c r="C108" s="21"/>
      <c r="D108" s="22" t="s">
        <v>8</v>
      </c>
      <c r="E108" s="23"/>
      <c r="F108" s="23"/>
      <c r="G108" s="23"/>
      <c r="H108" s="24"/>
    </row>
    <row r="109" ht="21" spans="2:8">
      <c r="B109" s="25" t="s">
        <v>9</v>
      </c>
      <c r="C109" s="21"/>
      <c r="D109" s="26" t="s">
        <v>10</v>
      </c>
      <c r="E109" s="26"/>
      <c r="F109" s="27" t="s">
        <v>206</v>
      </c>
      <c r="G109" s="28" t="s">
        <v>12</v>
      </c>
      <c r="H109" s="29">
        <v>46294</v>
      </c>
    </row>
    <row r="110" spans="2:8">
      <c r="B110" s="20" t="s">
        <v>13</v>
      </c>
      <c r="C110" s="21"/>
      <c r="D110" s="26" t="s">
        <v>14</v>
      </c>
      <c r="E110" s="26"/>
      <c r="F110" s="27" t="s">
        <v>206</v>
      </c>
      <c r="G110" s="28" t="s">
        <v>12</v>
      </c>
      <c r="H110" s="29">
        <v>46294</v>
      </c>
    </row>
    <row r="111" spans="2:8">
      <c r="B111" s="20" t="s">
        <v>15</v>
      </c>
      <c r="C111" s="21"/>
      <c r="D111" s="26" t="s">
        <v>16</v>
      </c>
      <c r="E111" s="26"/>
      <c r="F111" s="30"/>
      <c r="G111" s="31" t="s">
        <v>12</v>
      </c>
      <c r="H111" s="29"/>
    </row>
    <row r="112" spans="2:8">
      <c r="B112" s="20" t="s">
        <v>17</v>
      </c>
      <c r="C112" s="21"/>
      <c r="D112" s="26" t="s">
        <v>18</v>
      </c>
      <c r="E112" s="26"/>
      <c r="F112" s="32" t="s">
        <v>209</v>
      </c>
      <c r="G112" s="31" t="s">
        <v>12</v>
      </c>
      <c r="H112" s="29">
        <v>46294</v>
      </c>
    </row>
    <row r="113" spans="2:8">
      <c r="B113" s="20" t="s">
        <v>20</v>
      </c>
      <c r="C113" s="21"/>
      <c r="D113" s="26" t="s">
        <v>21</v>
      </c>
      <c r="E113" s="26"/>
      <c r="F113" s="33"/>
      <c r="G113" s="34" t="s">
        <v>12</v>
      </c>
      <c r="H113" s="29"/>
    </row>
    <row r="114" spans="2:8">
      <c r="B114" s="35" t="s">
        <v>22</v>
      </c>
      <c r="C114" s="26"/>
      <c r="D114" s="26" t="s">
        <v>23</v>
      </c>
      <c r="E114" s="26"/>
      <c r="F114" s="21" t="s">
        <v>24</v>
      </c>
      <c r="G114" s="28" t="s">
        <v>25</v>
      </c>
      <c r="H114" s="36"/>
    </row>
    <row r="115" ht="15.75" spans="2:8">
      <c r="B115" s="37" t="s">
        <v>26</v>
      </c>
      <c r="C115" s="38"/>
      <c r="D115" s="38" t="s">
        <v>27</v>
      </c>
      <c r="E115" s="38"/>
      <c r="F115" s="38" t="s">
        <v>28</v>
      </c>
      <c r="G115" s="39" t="s">
        <v>29</v>
      </c>
      <c r="H115" s="40"/>
    </row>
    <row r="116" ht="3.75" customHeight="1" spans="2:8">
      <c r="B116" s="41"/>
      <c r="H116" s="42"/>
    </row>
    <row r="117" ht="39" spans="2:8">
      <c r="B117" s="43" t="s">
        <v>30</v>
      </c>
      <c r="C117" s="44" t="s">
        <v>31</v>
      </c>
      <c r="D117" s="45" t="s">
        <v>32</v>
      </c>
      <c r="E117" s="44" t="s">
        <v>33</v>
      </c>
      <c r="F117" s="44" t="s">
        <v>34</v>
      </c>
      <c r="G117" s="44" t="s">
        <v>35</v>
      </c>
      <c r="H117" s="46" t="s">
        <v>36</v>
      </c>
    </row>
    <row r="118" customHeight="1" spans="2:8">
      <c r="B118" s="47">
        <v>1</v>
      </c>
      <c r="C118" s="48" t="s">
        <v>210</v>
      </c>
      <c r="D118" s="49">
        <v>84663020</v>
      </c>
      <c r="E118" s="50" t="s">
        <v>39</v>
      </c>
      <c r="F118" s="51">
        <v>2</v>
      </c>
      <c r="G118" s="52">
        <v>12100</v>
      </c>
      <c r="H118" s="53">
        <f>SUM(F118*G118)</f>
        <v>24200</v>
      </c>
    </row>
    <row r="119" spans="2:8">
      <c r="B119" s="54"/>
      <c r="C119" s="55" t="s">
        <v>211</v>
      </c>
      <c r="D119" s="56"/>
      <c r="E119" s="50"/>
      <c r="F119" s="51"/>
      <c r="G119" s="57"/>
      <c r="H119" s="53"/>
    </row>
    <row r="120" spans="2:8">
      <c r="B120" s="54"/>
      <c r="C120" s="32"/>
      <c r="D120" s="58"/>
      <c r="E120" s="50"/>
      <c r="F120" s="51"/>
      <c r="G120" s="57"/>
      <c r="H120" s="53"/>
    </row>
    <row r="121" spans="2:8">
      <c r="B121" s="54"/>
      <c r="C121" s="60"/>
      <c r="D121" s="61"/>
      <c r="E121" s="50"/>
      <c r="F121" s="51"/>
      <c r="G121" s="57"/>
      <c r="H121" s="53"/>
    </row>
    <row r="122" spans="2:8">
      <c r="B122" s="62"/>
      <c r="C122" s="32"/>
      <c r="D122" s="58"/>
      <c r="E122" s="50"/>
      <c r="F122" s="51"/>
      <c r="G122" s="57"/>
      <c r="H122" s="53"/>
    </row>
    <row r="123" spans="2:8">
      <c r="B123" s="62"/>
      <c r="C123" s="60"/>
      <c r="D123" s="56"/>
      <c r="E123" s="50"/>
      <c r="F123" s="51"/>
      <c r="G123" s="57"/>
      <c r="H123" s="53"/>
    </row>
    <row r="124" spans="2:8">
      <c r="B124" s="62"/>
      <c r="C124" s="32"/>
      <c r="D124" s="63"/>
      <c r="E124" s="50"/>
      <c r="F124" s="51"/>
      <c r="G124" s="57"/>
      <c r="H124" s="53"/>
    </row>
    <row r="125" spans="2:8">
      <c r="B125" s="62"/>
      <c r="C125" s="64"/>
      <c r="D125" s="63"/>
      <c r="E125" s="50"/>
      <c r="F125" s="51"/>
      <c r="G125" s="57"/>
      <c r="H125" s="53"/>
    </row>
    <row r="126" spans="2:8">
      <c r="B126" s="62"/>
      <c r="C126" s="32"/>
      <c r="D126" s="63"/>
      <c r="E126" s="50"/>
      <c r="F126" s="51"/>
      <c r="G126" s="57"/>
      <c r="H126" s="53"/>
    </row>
    <row r="127" spans="2:8">
      <c r="B127" s="62"/>
      <c r="C127" s="65"/>
      <c r="D127" s="27"/>
      <c r="E127" s="27"/>
      <c r="F127" s="66"/>
      <c r="G127" s="57"/>
      <c r="H127" s="53"/>
    </row>
    <row r="128" spans="2:8">
      <c r="B128" s="62"/>
      <c r="C128" s="32"/>
      <c r="D128" s="63"/>
      <c r="E128" s="50"/>
      <c r="F128" s="51"/>
      <c r="G128" s="57"/>
      <c r="H128" s="53"/>
    </row>
    <row r="129" spans="2:8">
      <c r="B129" s="62"/>
      <c r="C129" s="65"/>
      <c r="D129" s="27"/>
      <c r="E129" s="27"/>
      <c r="F129" s="66"/>
      <c r="G129" s="57"/>
      <c r="H129" s="53"/>
    </row>
    <row r="130" spans="2:8">
      <c r="B130" s="62"/>
      <c r="C130" s="67"/>
      <c r="D130" s="63"/>
      <c r="E130" s="50"/>
      <c r="F130" s="51"/>
      <c r="G130" s="68"/>
      <c r="H130" s="69"/>
    </row>
    <row r="131" spans="2:8">
      <c r="B131" s="20"/>
      <c r="C131" s="65"/>
      <c r="D131" s="21"/>
      <c r="E131" s="21"/>
      <c r="F131" s="66"/>
      <c r="G131" s="70"/>
      <c r="H131" s="69"/>
    </row>
    <row r="132" spans="2:8">
      <c r="B132" s="62"/>
      <c r="C132" s="32"/>
      <c r="D132" s="63"/>
      <c r="E132" s="50"/>
      <c r="F132" s="51"/>
      <c r="G132" s="70"/>
      <c r="H132" s="69"/>
    </row>
    <row r="133" spans="2:8">
      <c r="B133" s="20"/>
      <c r="C133" s="65"/>
      <c r="D133" s="21"/>
      <c r="E133" s="21"/>
      <c r="F133" s="66"/>
      <c r="G133" s="70"/>
      <c r="H133" s="69"/>
    </row>
    <row r="134" ht="21" spans="2:8">
      <c r="B134" s="71" t="s">
        <v>42</v>
      </c>
      <c r="C134" s="72"/>
      <c r="D134" s="66" t="s">
        <v>43</v>
      </c>
      <c r="E134" s="73"/>
      <c r="F134" s="27">
        <f>SUM(F118:F133)</f>
        <v>2</v>
      </c>
      <c r="G134" s="21"/>
      <c r="H134" s="74"/>
    </row>
    <row r="135" spans="2:8">
      <c r="B135" s="75"/>
      <c r="C135" s="76"/>
      <c r="D135" s="76"/>
      <c r="E135" s="77"/>
      <c r="F135" s="26" t="s">
        <v>44</v>
      </c>
      <c r="G135" s="26"/>
      <c r="H135" s="78">
        <f>SUM(H118:H134)</f>
        <v>24200</v>
      </c>
    </row>
    <row r="136" spans="2:8">
      <c r="B136" s="79" t="s">
        <v>45</v>
      </c>
      <c r="C136" s="80"/>
      <c r="E136" s="81"/>
      <c r="F136" s="21" t="s">
        <v>46</v>
      </c>
      <c r="G136" s="82">
        <v>0.09</v>
      </c>
      <c r="H136" s="78">
        <f>SUM(H135*G136)</f>
        <v>2178</v>
      </c>
    </row>
    <row r="137" spans="2:8">
      <c r="B137" s="83" t="s">
        <v>47</v>
      </c>
      <c r="C137" s="84"/>
      <c r="E137" s="81"/>
      <c r="F137" s="21" t="s">
        <v>48</v>
      </c>
      <c r="G137" s="82">
        <v>0.09</v>
      </c>
      <c r="H137" s="78">
        <f>SUM(H135*G137)</f>
        <v>2178</v>
      </c>
    </row>
    <row r="138" spans="2:8">
      <c r="B138" s="83" t="s">
        <v>49</v>
      </c>
      <c r="C138" s="84"/>
      <c r="E138" s="81"/>
      <c r="F138" s="21" t="s">
        <v>50</v>
      </c>
      <c r="G138" s="82">
        <v>0.18</v>
      </c>
      <c r="H138" s="85" t="s">
        <v>51</v>
      </c>
    </row>
    <row r="139" spans="2:8">
      <c r="B139" s="83" t="s">
        <v>52</v>
      </c>
      <c r="C139" s="84"/>
      <c r="E139" s="81"/>
      <c r="F139" s="86" t="s">
        <v>53</v>
      </c>
      <c r="G139" s="87"/>
      <c r="H139" s="78">
        <f>SUM(H136:H138)</f>
        <v>4356</v>
      </c>
    </row>
    <row r="140" spans="2:8">
      <c r="B140" s="83" t="s">
        <v>54</v>
      </c>
      <c r="C140" s="84"/>
      <c r="E140" s="81"/>
      <c r="F140" s="88" t="s">
        <v>55</v>
      </c>
      <c r="G140" s="88"/>
      <c r="H140" s="89">
        <f>SUM(H135+H139+H142)</f>
        <v>28556</v>
      </c>
    </row>
    <row r="141" spans="2:8">
      <c r="B141" s="90"/>
      <c r="C141" s="91"/>
      <c r="D141" s="91"/>
      <c r="E141" s="92"/>
      <c r="F141" s="93" t="s">
        <v>56</v>
      </c>
      <c r="G141" s="93"/>
      <c r="H141" s="74"/>
    </row>
    <row r="142" ht="27" customHeight="1" spans="2:8">
      <c r="B142" s="94" t="s">
        <v>212</v>
      </c>
      <c r="C142" s="95"/>
      <c r="D142" s="95"/>
      <c r="E142" s="96"/>
      <c r="F142" s="97" t="s">
        <v>58</v>
      </c>
      <c r="G142" s="98"/>
      <c r="H142" s="99"/>
    </row>
    <row r="143" spans="2:8">
      <c r="B143" s="100" t="s">
        <v>59</v>
      </c>
      <c r="C143" s="101"/>
      <c r="D143" s="101"/>
      <c r="E143" s="102" t="s">
        <v>60</v>
      </c>
      <c r="F143" s="102"/>
      <c r="G143" s="102"/>
      <c r="H143" s="103"/>
    </row>
    <row r="144" ht="18.75" spans="2:8">
      <c r="B144" s="104" t="s">
        <v>61</v>
      </c>
      <c r="E144" s="105" t="s">
        <v>62</v>
      </c>
      <c r="F144" s="105"/>
      <c r="G144" s="105"/>
      <c r="H144" s="106"/>
    </row>
    <row r="145" ht="18.75" spans="2:8">
      <c r="B145" s="108" t="s">
        <v>63</v>
      </c>
      <c r="C145" s="109"/>
      <c r="D145" s="110"/>
      <c r="E145" s="110"/>
      <c r="F145" s="111"/>
      <c r="G145" s="111"/>
      <c r="H145" s="42"/>
    </row>
    <row r="146" spans="2:8">
      <c r="B146" s="112" t="s">
        <v>64</v>
      </c>
      <c r="C146" s="113"/>
      <c r="D146" s="113"/>
      <c r="E146" s="113"/>
      <c r="F146" s="114"/>
      <c r="G146" s="111"/>
      <c r="H146" s="42"/>
    </row>
    <row r="147" spans="2:8">
      <c r="B147" s="112" t="s">
        <v>65</v>
      </c>
      <c r="C147" s="113"/>
      <c r="D147" s="113"/>
      <c r="E147" s="113"/>
      <c r="F147" s="114"/>
      <c r="G147" s="111"/>
      <c r="H147" s="42"/>
    </row>
    <row r="148" spans="2:8">
      <c r="B148" s="41"/>
      <c r="F148" s="111"/>
      <c r="G148" s="111"/>
      <c r="H148" s="42"/>
    </row>
    <row r="149" ht="15.75" spans="2:8">
      <c r="B149" s="115" t="s">
        <v>66</v>
      </c>
      <c r="C149" s="116"/>
      <c r="D149" s="116"/>
      <c r="E149" s="116"/>
      <c r="F149" s="116"/>
      <c r="G149" s="116"/>
      <c r="H149" s="117" t="s">
        <v>67</v>
      </c>
    </row>
  </sheetData>
  <mergeCells count="48">
    <mergeCell ref="B1:H1"/>
    <mergeCell ref="B2:H2"/>
    <mergeCell ref="B3:H3"/>
    <mergeCell ref="B4:H4"/>
    <mergeCell ref="B5:H5"/>
    <mergeCell ref="B6:H6"/>
    <mergeCell ref="B7:H7"/>
    <mergeCell ref="D8:H8"/>
    <mergeCell ref="G14:H14"/>
    <mergeCell ref="B34:C34"/>
    <mergeCell ref="D34:E34"/>
    <mergeCell ref="F39:G39"/>
    <mergeCell ref="B42:E42"/>
    <mergeCell ref="F42:G42"/>
    <mergeCell ref="E43:H43"/>
    <mergeCell ref="E44:H44"/>
    <mergeCell ref="B51:H51"/>
    <mergeCell ref="B52:H52"/>
    <mergeCell ref="B53:H53"/>
    <mergeCell ref="B54:H54"/>
    <mergeCell ref="B55:H55"/>
    <mergeCell ref="B56:H56"/>
    <mergeCell ref="B57:H57"/>
    <mergeCell ref="D58:H58"/>
    <mergeCell ref="G64:H64"/>
    <mergeCell ref="B84:C84"/>
    <mergeCell ref="D84:E84"/>
    <mergeCell ref="F89:G89"/>
    <mergeCell ref="B92:E92"/>
    <mergeCell ref="F92:G92"/>
    <mergeCell ref="E93:H93"/>
    <mergeCell ref="E94:H94"/>
    <mergeCell ref="B101:H101"/>
    <mergeCell ref="B102:H102"/>
    <mergeCell ref="B103:H103"/>
    <mergeCell ref="B104:H104"/>
    <mergeCell ref="B105:H105"/>
    <mergeCell ref="B106:H106"/>
    <mergeCell ref="B107:H107"/>
    <mergeCell ref="D108:H108"/>
    <mergeCell ref="G114:H114"/>
    <mergeCell ref="B134:C134"/>
    <mergeCell ref="D134:E134"/>
    <mergeCell ref="F139:G139"/>
    <mergeCell ref="B142:E142"/>
    <mergeCell ref="F142:G142"/>
    <mergeCell ref="E143:H143"/>
    <mergeCell ref="E144:H144"/>
  </mergeCells>
  <pageMargins left="0.17" right="0.17" top="0.17" bottom="0.17" header="10.9" footer="0.79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311L</vt:lpstr>
      <vt:lpstr>312 L</vt:lpstr>
      <vt:lpstr>313 L</vt:lpstr>
      <vt:lpstr>314 L</vt:lpstr>
      <vt:lpstr>315 L</vt:lpstr>
      <vt:lpstr>316 L</vt:lpstr>
      <vt:lpstr>317 L</vt:lpstr>
      <vt:lpstr>318 L</vt:lpstr>
      <vt:lpstr>319</vt:lpstr>
      <vt:lpstr>320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Server-Pc</dc:creator>
  <cp:lastModifiedBy>itssi</cp:lastModifiedBy>
  <dcterms:created xsi:type="dcterms:W3CDTF">2015-06-05T18:17:00Z</dcterms:created>
  <cp:lastPrinted>2026-09-24T07:59:00Z</cp:lastPrinted>
  <dcterms:modified xsi:type="dcterms:W3CDTF">2026-09-30T11:54:18Z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7FD06B1FBD7948BC8F4F9466EBE59246_12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