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13_ncr:1_{C894C337-E3C5-46E2-9639-E3F841CC3BD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274 L" sheetId="451" r:id="rId1"/>
    <sheet name="292" sheetId="47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4" i="471" l="1"/>
  <c r="H120" i="471"/>
  <c r="H118" i="471"/>
  <c r="H135" i="471" s="1"/>
  <c r="H85" i="471"/>
  <c r="F84" i="471"/>
  <c r="H70" i="471"/>
  <c r="H68" i="471"/>
  <c r="F128" i="451"/>
  <c r="H114" i="451"/>
  <c r="H129" i="451" s="1"/>
  <c r="F80" i="451"/>
  <c r="H66" i="451"/>
  <c r="H81" i="451" s="1"/>
  <c r="H20" i="471"/>
  <c r="F34" i="471"/>
  <c r="H18" i="471"/>
  <c r="F32" i="451"/>
  <c r="H18" i="451"/>
  <c r="H33" i="451" s="1"/>
  <c r="H35" i="451" s="1"/>
  <c r="H136" i="471" l="1"/>
  <c r="H137" i="471"/>
  <c r="H86" i="471"/>
  <c r="H87" i="471"/>
  <c r="H130" i="451"/>
  <c r="H131" i="451"/>
  <c r="H82" i="451"/>
  <c r="H83" i="451"/>
  <c r="H35" i="471"/>
  <c r="H36" i="471"/>
  <c r="H37" i="471"/>
  <c r="H34" i="451"/>
  <c r="H37" i="451" s="1"/>
  <c r="H38" i="451" s="1"/>
  <c r="H139" i="471" l="1"/>
  <c r="H140" i="471" s="1"/>
  <c r="H89" i="471"/>
  <c r="H90" i="471" s="1"/>
  <c r="H133" i="451"/>
  <c r="H134" i="451" s="1"/>
  <c r="H85" i="451"/>
  <c r="H86" i="451" s="1"/>
  <c r="H39" i="471"/>
  <c r="H40" i="471" s="1"/>
</calcChain>
</file>

<file path=xl/sharedStrings.xml><?xml version="1.0" encoding="utf-8"?>
<sst xmlns="http://schemas.openxmlformats.org/spreadsheetml/2006/main" count="413" uniqueCount="77">
  <si>
    <t>(Proprietor)</t>
  </si>
  <si>
    <t>(Receivers Signature)</t>
  </si>
  <si>
    <t>3.Goods supplied to order will not be return back</t>
  </si>
  <si>
    <t>2. Payment requested by crossed PAYEES A/C.CHEQUE/NEFT/RTGS only.</t>
  </si>
  <si>
    <t>1.Payment requested within 15 DAYS</t>
  </si>
  <si>
    <t>For EXAMPLE ENGINEERING WORKS</t>
  </si>
  <si>
    <t>Terms &amp; Conditions:</t>
  </si>
  <si>
    <t>Certified that the particulars given above are true and correct</t>
  </si>
  <si>
    <t xml:space="preserve"> E &amp; O.E</t>
  </si>
  <si>
    <t>Round Off</t>
  </si>
  <si>
    <t>GST Payable on reverse</t>
  </si>
  <si>
    <t>Total Amount After Tax</t>
  </si>
  <si>
    <t>IFSC CODE:EXAM0000001</t>
  </si>
  <si>
    <t>Total Amount :GST</t>
  </si>
  <si>
    <t>BRANCH: EXAMPLE BRANCH</t>
  </si>
  <si>
    <t>-</t>
  </si>
  <si>
    <t>ADD:  IGST</t>
  </si>
  <si>
    <t>ACCOUNT NUMBER:00000000123456</t>
  </si>
  <si>
    <t>ADD:  SGST</t>
  </si>
  <si>
    <t>Bank Name: EXAMPLE BANK LTD</t>
  </si>
  <si>
    <t>ADD:  CGST</t>
  </si>
  <si>
    <t>Bank Details:</t>
  </si>
  <si>
    <t>Total Amount Before Tax</t>
  </si>
  <si>
    <t>Total Quantity</t>
  </si>
  <si>
    <t>WITHMETAL</t>
  </si>
  <si>
    <t>NOS</t>
  </si>
  <si>
    <t>Amount</t>
  </si>
  <si>
    <t>Rate</t>
  </si>
  <si>
    <t>Quantity</t>
  </si>
  <si>
    <t>UOM</t>
  </si>
  <si>
    <t>HSN CODE</t>
  </si>
  <si>
    <t>D E S C R I P T I O N</t>
  </si>
  <si>
    <t>SR.NO.</t>
  </si>
  <si>
    <t xml:space="preserve">VEHICLE NO.  </t>
  </si>
  <si>
    <t>Transporter Mode</t>
  </si>
  <si>
    <t>Party's GST No.27AAACD5678E1Z9</t>
  </si>
  <si>
    <t>STATE CODE:27</t>
  </si>
  <si>
    <t xml:space="preserve">EXAMPLE CITY                   </t>
  </si>
  <si>
    <t>PLACE OF SUPPLY</t>
  </si>
  <si>
    <t>State: Maharashtra       State Code:27</t>
  </si>
  <si>
    <t xml:space="preserve">Date: </t>
  </si>
  <si>
    <t>Eway Bill No.:</t>
  </si>
  <si>
    <t>Purchase Order No.:</t>
  </si>
  <si>
    <t>Your Challan No.:</t>
  </si>
  <si>
    <t>Our Challan No.:</t>
  </si>
  <si>
    <t>INVOICE NO.:</t>
  </si>
  <si>
    <t>Original Copy of Invoice for Receipt                                            Duplicate &amp; Triplicate Supplier or Transporter</t>
  </si>
  <si>
    <t>Details of Receipient (Billed To)</t>
  </si>
  <si>
    <t>Email (1):example1@example.com Email(2): example2@example.com Mob.9000000001 &amp; 9000000002</t>
  </si>
  <si>
    <t>Office Address: Unit No.1,GalaNo.2 &amp; 3,NearExample Circle,Road No.28,Example Nagar,Example Estate,Example City - 000 001,State- Maharashtra</t>
  </si>
  <si>
    <t>GST No.27AAAPE1234F1Z9  MSME NO.UDYAM-MH-00-0000001</t>
  </si>
  <si>
    <t>Manufacturing Traders of Machinery,Precision Job Works &amp; Industrial Products</t>
  </si>
  <si>
    <t>EXAMPLE ENGINEERING WORKS</t>
  </si>
  <si>
    <t>TAX INVOICE</t>
  </si>
  <si>
    <t>TRIPLICATE</t>
  </si>
  <si>
    <t>DUPLICATE</t>
  </si>
  <si>
    <t>ORIGINAL</t>
  </si>
  <si>
    <t xml:space="preserve"> </t>
  </si>
  <si>
    <t>Service Order No.:</t>
  </si>
  <si>
    <t xml:space="preserve">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</si>
  <si>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</si>
  <si>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LABOUR JOB</t>
  </si>
  <si>
    <t>1.Payment requested within 40 DAYS</t>
  </si>
  <si>
    <t>MH 00 EX 0000</t>
  </si>
  <si>
    <t>FIX/274/2026-27</t>
  </si>
  <si>
    <t>5L TP CL COOKER BODY 2ND DRAW TOOL DIE ASSY FOR TR</t>
  </si>
  <si>
    <t>CNC TR,POL &amp; amp ASSY</t>
  </si>
  <si>
    <t>Total Invoice Amount in Words:- FIFTEEN THOUSAND SIX HUNDRED AND THIRTY FIVE ONLY</t>
  </si>
  <si>
    <t>WT/SO/9000001</t>
  </si>
  <si>
    <t>MH00 EX 0000</t>
  </si>
  <si>
    <t>FIX/292/2026-27</t>
  </si>
  <si>
    <t>WT/PO/CP/9000001</t>
  </si>
  <si>
    <t>2L RICE COOKER BODY DRAW DIE CI [3011821]</t>
  </si>
  <si>
    <t>[TN 29374]</t>
  </si>
  <si>
    <t>2L RICE COOKER  SS OUTER VESSEL BASE PLATE</t>
  </si>
  <si>
    <t>BODY TRIMMING MANDREL[3005942] [TN-29375]</t>
  </si>
  <si>
    <t>Total Invoice Amount in Words: FORTYTWO THOUSAND TWO HUNDRED AND EIGHTYEIGHT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</si>
</sst>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14009]dd/mm/yy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color theme="1"/>
      <name val="Segoe UI"/>
      <family val="2"/>
    </font>
    <font>
      <sz val="10"/>
      <color rgb="FF000000"/>
      <name val="Segoe UI"/>
      <family val="2"/>
    </font>
    <font>
      <sz val="9"/>
      <color rgb="FF000000"/>
      <name val="Segoe UI"/>
      <family val="2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6">
    <xf numFmtId="0" fontId="0" fillId="0" borderId="0" xfId="0"/>
    <xf numFmtId="0" fontId="2" fillId="0" borderId="1" xfId="0" applyFont="1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5" xfId="0" applyBorder="1"/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5" xfId="0" applyFont="1" applyBorder="1"/>
    <xf numFmtId="0" fontId="4" fillId="0" borderId="0" xfId="0" applyFont="1"/>
    <xf numFmtId="0" fontId="5" fillId="0" borderId="0" xfId="0" applyFont="1"/>
    <xf numFmtId="0" fontId="5" fillId="0" borderId="5" xfId="0" applyFont="1" applyBorder="1"/>
    <xf numFmtId="0" fontId="6" fillId="0" borderId="5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9" xfId="0" applyBorder="1"/>
    <xf numFmtId="0" fontId="0" fillId="0" borderId="15" xfId="0" applyBorder="1" applyAlignment="1">
      <alignment horizontal="lef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43" fontId="2" fillId="0" borderId="9" xfId="1" applyFont="1" applyBorder="1"/>
    <xf numFmtId="0" fontId="2" fillId="0" borderId="15" xfId="0" applyFont="1" applyBorder="1" applyAlignment="1">
      <alignment horizontal="left"/>
    </xf>
    <xf numFmtId="0" fontId="0" fillId="0" borderId="19" xfId="0" applyBorder="1"/>
    <xf numFmtId="0" fontId="2" fillId="0" borderId="0" xfId="0" applyFont="1"/>
    <xf numFmtId="0" fontId="2" fillId="0" borderId="5" xfId="0" applyFont="1" applyBorder="1"/>
    <xf numFmtId="43" fontId="0" fillId="0" borderId="9" xfId="1" applyFont="1" applyBorder="1"/>
    <xf numFmtId="0" fontId="0" fillId="0" borderId="9" xfId="0" applyBorder="1" applyAlignment="1">
      <alignment horizontal="right"/>
    </xf>
    <xf numFmtId="9" fontId="0" fillId="0" borderId="15" xfId="0" applyNumberFormat="1" applyBorder="1"/>
    <xf numFmtId="0" fontId="0" fillId="0" borderId="15" xfId="0" applyBorder="1"/>
    <xf numFmtId="0" fontId="8" fillId="0" borderId="0" xfId="0" applyFont="1"/>
    <xf numFmtId="0" fontId="8" fillId="0" borderId="5" xfId="0" applyFont="1" applyBorder="1"/>
    <xf numFmtId="0" fontId="2" fillId="0" borderId="15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5" xfId="0" applyBorder="1" applyAlignment="1">
      <alignment horizontal="center"/>
    </xf>
    <xf numFmtId="43" fontId="0" fillId="0" borderId="24" xfId="1" applyFont="1" applyBorder="1"/>
    <xf numFmtId="43" fontId="0" fillId="0" borderId="15" xfId="1" applyFont="1" applyBorder="1"/>
    <xf numFmtId="0" fontId="10" fillId="0" borderId="15" xfId="0" applyFont="1" applyBorder="1" applyAlignment="1">
      <alignment wrapText="1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43" fontId="0" fillId="0" borderId="15" xfId="1" applyFont="1" applyBorder="1" applyAlignment="1">
      <alignment vertical="center"/>
    </xf>
    <xf numFmtId="0" fontId="0" fillId="0" borderId="28" xfId="0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11" fillId="0" borderId="30" xfId="0" applyFont="1" applyBorder="1" applyAlignment="1">
      <alignment wrapText="1"/>
    </xf>
    <xf numFmtId="0" fontId="0" fillId="0" borderId="31" xfId="0" applyBorder="1"/>
    <xf numFmtId="0" fontId="2" fillId="0" borderId="13" xfId="0" applyFont="1" applyBorder="1"/>
    <xf numFmtId="0" fontId="2" fillId="0" borderId="32" xfId="0" applyFont="1" applyBorder="1"/>
    <xf numFmtId="0" fontId="2" fillId="0" borderId="33" xfId="0" applyFont="1" applyBorder="1"/>
    <xf numFmtId="0" fontId="2" fillId="0" borderId="26" xfId="0" applyFont="1" applyBorder="1"/>
    <xf numFmtId="0" fontId="12" fillId="0" borderId="27" xfId="0" applyFont="1" applyBorder="1"/>
    <xf numFmtId="0" fontId="0" fillId="0" borderId="26" xfId="0" applyBorder="1"/>
    <xf numFmtId="0" fontId="2" fillId="0" borderId="11" xfId="0" applyFont="1" applyBorder="1"/>
    <xf numFmtId="164" fontId="0" fillId="0" borderId="34" xfId="0" applyNumberFormat="1" applyBorder="1" applyAlignment="1">
      <alignment horizontal="left"/>
    </xf>
    <xf numFmtId="0" fontId="14" fillId="0" borderId="15" xfId="0" applyFont="1" applyBorder="1"/>
    <xf numFmtId="0" fontId="15" fillId="0" borderId="26" xfId="0" applyFont="1" applyBorder="1"/>
    <xf numFmtId="0" fontId="0" fillId="0" borderId="0" xfId="0" applyAlignment="1">
      <alignment vertical="center"/>
    </xf>
    <xf numFmtId="0" fontId="7" fillId="0" borderId="0" xfId="0" applyFont="1"/>
    <xf numFmtId="0" fontId="0" fillId="0" borderId="26" xfId="0" applyBorder="1" applyAlignment="1">
      <alignment horizontal="center"/>
    </xf>
    <xf numFmtId="0" fontId="10" fillId="0" borderId="15" xfId="0" applyFont="1" applyBorder="1"/>
    <xf numFmtId="0" fontId="18" fillId="0" borderId="15" xfId="0" applyFont="1" applyBorder="1"/>
    <xf numFmtId="0" fontId="19" fillId="0" borderId="15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2" fillId="0" borderId="11" xfId="0" applyFont="1" applyBorder="1" applyAlignment="1">
      <alignment horizontal="left"/>
    </xf>
    <xf numFmtId="0" fontId="10" fillId="2" borderId="44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/>
    </xf>
    <xf numFmtId="0" fontId="10" fillId="0" borderId="42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43" fontId="0" fillId="0" borderId="25" xfId="1" applyFont="1" applyBorder="1" applyAlignment="1">
      <alignment horizontal="center" vertical="center"/>
    </xf>
    <xf numFmtId="43" fontId="0" fillId="0" borderId="15" xfId="1" applyFont="1" applyBorder="1" applyAlignment="1">
      <alignment horizontal="center" vertical="center"/>
    </xf>
    <xf numFmtId="43" fontId="0" fillId="0" borderId="24" xfId="1" applyFont="1" applyBorder="1" applyAlignment="1">
      <alignment horizontal="center" vertical="center"/>
    </xf>
    <xf numFmtId="0" fontId="10" fillId="0" borderId="25" xfId="0" applyFont="1" applyBorder="1"/>
    <xf numFmtId="0" fontId="20" fillId="0" borderId="15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164" fontId="18" fillId="0" borderId="25" xfId="0" applyNumberFormat="1" applyFont="1" applyBorder="1" applyAlignment="1">
      <alignment horizontal="left"/>
    </xf>
    <xf numFmtId="0" fontId="3" fillId="0" borderId="15" xfId="0" applyFont="1" applyBorder="1"/>
    <xf numFmtId="0" fontId="21" fillId="0" borderId="15" xfId="0" applyFont="1" applyBorder="1"/>
    <xf numFmtId="0" fontId="2" fillId="0" borderId="27" xfId="0" applyFont="1" applyBorder="1"/>
    <xf numFmtId="164" fontId="0" fillId="0" borderId="36" xfId="0" applyNumberFormat="1" applyBorder="1"/>
    <xf numFmtId="0" fontId="2" fillId="0" borderId="45" xfId="0" applyFont="1" applyBorder="1" applyAlignment="1">
      <alignment wrapText="1"/>
    </xf>
    <xf numFmtId="0" fontId="2" fillId="0" borderId="30" xfId="0" applyFont="1" applyBorder="1" applyAlignment="1">
      <alignment horizontal="center" vertical="center"/>
    </xf>
    <xf numFmtId="0" fontId="0" fillId="0" borderId="28" xfId="0" applyBorder="1" applyAlignment="1">
      <alignment horizontal="center"/>
    </xf>
    <xf numFmtId="164" fontId="3" fillId="0" borderId="25" xfId="0" applyNumberFormat="1" applyFont="1" applyBorder="1" applyAlignment="1">
      <alignment horizontal="left"/>
    </xf>
    <xf numFmtId="0" fontId="0" fillId="0" borderId="1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43" fontId="0" fillId="0" borderId="27" xfId="1" applyFont="1" applyBorder="1"/>
    <xf numFmtId="43" fontId="22" fillId="0" borderId="24" xfId="1" applyFont="1" applyBorder="1"/>
    <xf numFmtId="43" fontId="0" fillId="0" borderId="25" xfId="1" applyFont="1" applyBorder="1"/>
    <xf numFmtId="0" fontId="2" fillId="0" borderId="0" xfId="0" applyFont="1" applyAlignment="1">
      <alignment horizontal="right"/>
    </xf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2" xfId="0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9" fillId="0" borderId="38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37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16" fillId="0" borderId="11" xfId="0" applyFont="1" applyBorder="1" applyAlignment="1">
      <alignment horizontal="left" wrapText="1"/>
    </xf>
    <xf numFmtId="0" fontId="16" fillId="0" borderId="35" xfId="0" applyFont="1" applyBorder="1" applyAlignment="1">
      <alignment horizontal="left" wrapText="1"/>
    </xf>
    <xf numFmtId="0" fontId="16" fillId="0" borderId="34" xfId="0" applyFont="1" applyBorder="1" applyAlignment="1">
      <alignment horizontal="left" wrapText="1"/>
    </xf>
    <xf numFmtId="0" fontId="2" fillId="0" borderId="11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9" fillId="0" borderId="2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0" fillId="0" borderId="4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7" fillId="0" borderId="7" xfId="0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4" xfId="0" applyFont="1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9" fillId="0" borderId="23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2" fillId="0" borderId="22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0" fillId="0" borderId="41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B06DD-04E7-40A0-9426-E542A9186E24}">
  <dimension ref="B1:P144"/>
  <sheetViews>
    <sheetView workbookViewId="0">
      <selection activeCell="F22" sqref="F22"/>
    </sheetView>
  </sheetViews>
  <sheetFormatPr defaultRowHeight="15" x14ac:dyDescent="0.25"/>
  <cols>
    <col min="1" max="1" width="1" customWidth="1"/>
    <col min="2" max="2" width="4.42578125" customWidth="1"/>
    <col min="3" max="3" width="41" customWidth="1"/>
    <col min="4" max="4" width="9.7109375" customWidth="1"/>
    <col min="5" max="5" width="7.42578125" customWidth="1"/>
    <col min="6" max="6" width="16.28515625" customWidth="1"/>
    <col min="7" max="7" width="10.42578125" customWidth="1"/>
    <col min="8" max="8" width="10.5703125" customWidth="1"/>
    <col min="9" max="9" width="0.7109375" customWidth="1"/>
  </cols>
  <sheetData>
    <row r="1" spans="2:15" ht="15.75" thickBot="1" x14ac:dyDescent="0.3">
      <c r="B1" s="98" t="s">
        <v>56</v>
      </c>
      <c r="C1" s="98"/>
      <c r="D1" s="98"/>
      <c r="E1" s="98"/>
      <c r="F1" s="98"/>
      <c r="G1" s="98"/>
      <c r="H1" s="98"/>
    </row>
    <row r="2" spans="2:15" ht="21" x14ac:dyDescent="0.35">
      <c r="B2" s="99" t="s">
        <v>53</v>
      </c>
      <c r="C2" s="100"/>
      <c r="D2" s="100"/>
      <c r="E2" s="100"/>
      <c r="F2" s="100"/>
      <c r="G2" s="100"/>
      <c r="H2" s="101"/>
    </row>
    <row r="3" spans="2:15" ht="28.5" x14ac:dyDescent="0.45">
      <c r="B3" s="102" t="s">
        <v>52</v>
      </c>
      <c r="C3" s="103"/>
      <c r="D3" s="103"/>
      <c r="E3" s="103"/>
      <c r="F3" s="103"/>
      <c r="G3" s="103"/>
      <c r="H3" s="104"/>
    </row>
    <row r="4" spans="2:15" x14ac:dyDescent="0.25">
      <c r="B4" s="105" t="s">
        <v>51</v>
      </c>
      <c r="C4" s="106"/>
      <c r="D4" s="106"/>
      <c r="E4" s="106"/>
      <c r="F4" s="106"/>
      <c r="G4" s="106"/>
      <c r="H4" s="107"/>
    </row>
    <row r="5" spans="2:15" ht="21.75" thickBot="1" x14ac:dyDescent="0.4">
      <c r="B5" s="108" t="s">
        <v>50</v>
      </c>
      <c r="C5" s="109"/>
      <c r="D5" s="109"/>
      <c r="E5" s="109"/>
      <c r="F5" s="109"/>
      <c r="G5" s="109"/>
      <c r="H5" s="110"/>
    </row>
    <row r="6" spans="2:15" x14ac:dyDescent="0.25">
      <c r="B6" s="111" t="s">
        <v>49</v>
      </c>
      <c r="C6" s="112"/>
      <c r="D6" s="112"/>
      <c r="E6" s="112"/>
      <c r="F6" s="112"/>
      <c r="G6" s="112"/>
      <c r="H6" s="113"/>
    </row>
    <row r="7" spans="2:15" x14ac:dyDescent="0.25">
      <c r="B7" s="114" t="s">
        <v>48</v>
      </c>
      <c r="C7" s="115"/>
      <c r="D7" s="115"/>
      <c r="E7" s="115"/>
      <c r="F7" s="115"/>
      <c r="G7" s="115"/>
      <c r="H7" s="116"/>
    </row>
    <row r="8" spans="2:15" ht="15.75" customHeight="1" x14ac:dyDescent="0.25">
      <c r="B8" s="55" t="s">
        <v>47</v>
      </c>
      <c r="C8" s="30"/>
      <c r="D8" s="117" t="s">
        <v>46</v>
      </c>
      <c r="E8" s="118"/>
      <c r="F8" s="118"/>
      <c r="G8" s="118"/>
      <c r="H8" s="119"/>
    </row>
    <row r="9" spans="2:15" ht="21" x14ac:dyDescent="0.35">
      <c r="B9" s="59"/>
      <c r="C9" s="30"/>
      <c r="D9" s="33" t="s">
        <v>45</v>
      </c>
      <c r="E9" s="33"/>
      <c r="F9" s="30" t="s">
        <v>64</v>
      </c>
      <c r="G9" s="56" t="s">
        <v>40</v>
      </c>
      <c r="H9" s="57">
        <v>46271</v>
      </c>
      <c r="O9" t="s">
        <v>57</v>
      </c>
    </row>
    <row r="10" spans="2:15" x14ac:dyDescent="0.25">
      <c r="B10" s="55"/>
      <c r="C10" s="30"/>
      <c r="D10" s="33" t="s">
        <v>44</v>
      </c>
      <c r="E10" s="33"/>
      <c r="F10" s="30" t="s">
        <v>64</v>
      </c>
      <c r="G10" s="56" t="s">
        <v>40</v>
      </c>
      <c r="H10" s="57">
        <v>46271</v>
      </c>
    </row>
    <row r="11" spans="2:15" x14ac:dyDescent="0.25">
      <c r="B11" s="55"/>
      <c r="C11" s="30"/>
      <c r="D11" s="33" t="s">
        <v>43</v>
      </c>
      <c r="E11" s="33"/>
      <c r="F11" s="81"/>
      <c r="G11" s="56" t="s">
        <v>40</v>
      </c>
      <c r="H11" s="57"/>
    </row>
    <row r="12" spans="2:15" x14ac:dyDescent="0.25">
      <c r="B12" s="55"/>
      <c r="C12" s="30"/>
      <c r="D12" s="33" t="s">
        <v>58</v>
      </c>
      <c r="E12" s="33"/>
      <c r="F12" s="82" t="s">
        <v>68</v>
      </c>
      <c r="G12" s="56" t="s">
        <v>40</v>
      </c>
      <c r="H12" s="57">
        <v>46271</v>
      </c>
    </row>
    <row r="13" spans="2:15" x14ac:dyDescent="0.25">
      <c r="B13" s="55"/>
      <c r="C13" s="30"/>
      <c r="D13" s="33" t="s">
        <v>41</v>
      </c>
      <c r="E13" s="33"/>
      <c r="F13" s="30" t="s">
        <v>59</v>
      </c>
      <c r="G13" s="83" t="s">
        <v>40</v>
      </c>
      <c r="H13" s="84"/>
    </row>
    <row r="14" spans="2:15" x14ac:dyDescent="0.25">
      <c r="B14" s="53" t="s">
        <v>39</v>
      </c>
      <c r="C14" s="33"/>
      <c r="D14" s="33" t="s">
        <v>38</v>
      </c>
      <c r="E14" s="33"/>
      <c r="F14" s="30" t="s">
        <v>37</v>
      </c>
      <c r="G14" s="120" t="s">
        <v>36</v>
      </c>
      <c r="H14" s="121"/>
    </row>
    <row r="15" spans="2:15" ht="15.75" thickBot="1" x14ac:dyDescent="0.3">
      <c r="B15" s="52" t="s">
        <v>35</v>
      </c>
      <c r="C15" s="51"/>
      <c r="D15" s="51" t="s">
        <v>34</v>
      </c>
      <c r="E15" s="51"/>
      <c r="F15" s="51" t="s">
        <v>33</v>
      </c>
      <c r="G15" s="50" t="s">
        <v>63</v>
      </c>
      <c r="H15" s="49"/>
      <c r="L15" t="s">
        <v>57</v>
      </c>
    </row>
    <row r="16" spans="2:15" ht="3.75" customHeight="1" thickBot="1" x14ac:dyDescent="0.3"/>
    <row r="17" spans="2:16" ht="30.75" thickBot="1" x14ac:dyDescent="0.3">
      <c r="B17" s="85" t="s">
        <v>32</v>
      </c>
      <c r="C17" s="86" t="s">
        <v>31</v>
      </c>
      <c r="D17" s="47" t="s">
        <v>30</v>
      </c>
      <c r="E17" s="46" t="s">
        <v>29</v>
      </c>
      <c r="F17" s="46" t="s">
        <v>28</v>
      </c>
      <c r="G17" s="46" t="s">
        <v>27</v>
      </c>
      <c r="H17" s="67" t="s">
        <v>26</v>
      </c>
      <c r="P17" t="s">
        <v>60</v>
      </c>
    </row>
    <row r="18" spans="2:16" ht="15" customHeight="1" x14ac:dyDescent="0.25">
      <c r="B18" s="87">
        <v>1</v>
      </c>
      <c r="C18" s="88" t="s">
        <v>65</v>
      </c>
      <c r="D18" s="89">
        <v>82072000</v>
      </c>
      <c r="E18" s="90" t="s">
        <v>25</v>
      </c>
      <c r="F18" s="91">
        <v>1</v>
      </c>
      <c r="G18" s="92">
        <v>13250</v>
      </c>
      <c r="H18" s="93">
        <f>SUM(F18*G18)</f>
        <v>13250</v>
      </c>
    </row>
    <row r="19" spans="2:16" ht="15" customHeight="1" x14ac:dyDescent="0.25">
      <c r="B19" s="62"/>
      <c r="C19" s="88" t="s">
        <v>66</v>
      </c>
      <c r="D19" s="89"/>
      <c r="E19" s="90"/>
      <c r="F19" s="91"/>
      <c r="G19" s="92"/>
      <c r="H19" s="93"/>
    </row>
    <row r="20" spans="2:16" x14ac:dyDescent="0.25">
      <c r="B20" s="87"/>
      <c r="C20" s="88"/>
      <c r="D20" s="89"/>
      <c r="E20" s="90"/>
      <c r="F20" s="91"/>
      <c r="G20" s="92"/>
      <c r="H20" s="93"/>
    </row>
    <row r="21" spans="2:16" x14ac:dyDescent="0.25">
      <c r="B21" s="62"/>
      <c r="C21" s="88"/>
      <c r="D21" s="89"/>
      <c r="E21" s="90"/>
      <c r="F21" s="91"/>
      <c r="G21" s="92"/>
      <c r="H21" s="93"/>
    </row>
    <row r="22" spans="2:16" x14ac:dyDescent="0.25">
      <c r="B22" s="62"/>
      <c r="C22" s="88"/>
      <c r="D22" s="89"/>
      <c r="E22" s="90"/>
      <c r="F22" s="91"/>
      <c r="G22" s="92"/>
      <c r="H22" s="93"/>
    </row>
    <row r="23" spans="2:16" x14ac:dyDescent="0.25">
      <c r="B23" s="87"/>
      <c r="C23" s="88"/>
      <c r="D23" s="89"/>
      <c r="E23" s="90"/>
      <c r="F23" s="91"/>
      <c r="G23" s="94"/>
      <c r="H23" s="93"/>
    </row>
    <row r="24" spans="2:16" x14ac:dyDescent="0.25">
      <c r="B24" s="62"/>
      <c r="C24" s="88"/>
      <c r="D24" s="89"/>
      <c r="E24" s="90"/>
      <c r="F24" s="91"/>
      <c r="G24" s="92"/>
      <c r="H24" s="93"/>
    </row>
    <row r="25" spans="2:16" x14ac:dyDescent="0.25">
      <c r="B25" s="62"/>
      <c r="C25" s="88"/>
      <c r="D25" s="89"/>
      <c r="E25" s="90"/>
      <c r="F25" s="91"/>
      <c r="G25" s="39"/>
      <c r="H25" s="93"/>
      <c r="O25" t="s">
        <v>57</v>
      </c>
    </row>
    <row r="26" spans="2:16" x14ac:dyDescent="0.25">
      <c r="B26" s="62"/>
      <c r="C26" s="88"/>
      <c r="D26" s="89"/>
      <c r="E26" s="90"/>
      <c r="F26" s="91"/>
      <c r="G26" s="92"/>
      <c r="H26" s="93"/>
    </row>
    <row r="27" spans="2:16" x14ac:dyDescent="0.25">
      <c r="B27" s="62"/>
      <c r="C27" s="81"/>
      <c r="D27" s="89"/>
      <c r="E27" s="90"/>
      <c r="F27" s="91"/>
      <c r="G27" s="39"/>
      <c r="H27" s="93"/>
    </row>
    <row r="28" spans="2:16" x14ac:dyDescent="0.25">
      <c r="B28" s="62"/>
      <c r="C28" s="81"/>
      <c r="D28" s="37"/>
      <c r="E28" s="37"/>
      <c r="F28" s="68"/>
      <c r="G28" s="39"/>
      <c r="H28" s="93"/>
    </row>
    <row r="29" spans="2:16" x14ac:dyDescent="0.25">
      <c r="B29" s="62"/>
      <c r="C29" s="81"/>
      <c r="D29" s="89"/>
      <c r="E29" s="90"/>
      <c r="F29" s="91"/>
      <c r="G29" s="30"/>
      <c r="H29" s="17"/>
    </row>
    <row r="30" spans="2:16" x14ac:dyDescent="0.25">
      <c r="B30" s="41"/>
      <c r="C30" s="81"/>
      <c r="D30" s="89"/>
      <c r="E30" s="90"/>
      <c r="F30" s="91"/>
      <c r="G30" s="39"/>
      <c r="H30" s="93"/>
    </row>
    <row r="31" spans="2:16" x14ac:dyDescent="0.25">
      <c r="B31" s="55"/>
      <c r="C31" s="81"/>
      <c r="D31" s="30"/>
      <c r="E31" s="30"/>
      <c r="F31" s="68"/>
      <c r="G31" s="30"/>
      <c r="H31" s="17"/>
    </row>
    <row r="32" spans="2:16" ht="21" x14ac:dyDescent="0.35">
      <c r="B32" s="136" t="s">
        <v>61</v>
      </c>
      <c r="C32" s="137"/>
      <c r="D32" s="124" t="s">
        <v>23</v>
      </c>
      <c r="E32" s="125"/>
      <c r="F32" s="37">
        <f>SUM(F18:F31)</f>
        <v>1</v>
      </c>
      <c r="G32" s="30"/>
      <c r="H32" s="17"/>
    </row>
    <row r="33" spans="2:9" x14ac:dyDescent="0.25">
      <c r="B33" s="36"/>
      <c r="C33" s="35"/>
      <c r="D33" s="35"/>
      <c r="E33" s="34"/>
      <c r="F33" s="33" t="s">
        <v>22</v>
      </c>
      <c r="G33" s="33"/>
      <c r="H33" s="27">
        <f>SUM(H18:H32)</f>
        <v>13250</v>
      </c>
    </row>
    <row r="34" spans="2:9" x14ac:dyDescent="0.25">
      <c r="B34" s="32" t="s">
        <v>21</v>
      </c>
      <c r="C34" s="31"/>
      <c r="E34" s="24"/>
      <c r="F34" s="30" t="s">
        <v>20</v>
      </c>
      <c r="G34" s="29">
        <v>0.09</v>
      </c>
      <c r="H34" s="27">
        <f>SUM(H33*G34)</f>
        <v>1192.5</v>
      </c>
    </row>
    <row r="35" spans="2:9" x14ac:dyDescent="0.25">
      <c r="B35" s="26" t="s">
        <v>19</v>
      </c>
      <c r="C35" s="25"/>
      <c r="E35" s="24"/>
      <c r="F35" s="30" t="s">
        <v>18</v>
      </c>
      <c r="G35" s="29">
        <v>0.09</v>
      </c>
      <c r="H35" s="27">
        <f>SUM(H33*G35)</f>
        <v>1192.5</v>
      </c>
    </row>
    <row r="36" spans="2:9" x14ac:dyDescent="0.25">
      <c r="B36" s="26" t="s">
        <v>17</v>
      </c>
      <c r="C36" s="25"/>
      <c r="E36" s="24"/>
      <c r="F36" s="30" t="s">
        <v>16</v>
      </c>
      <c r="G36" s="29">
        <v>0.18</v>
      </c>
      <c r="H36" s="28" t="s">
        <v>15</v>
      </c>
    </row>
    <row r="37" spans="2:9" x14ac:dyDescent="0.25">
      <c r="B37" s="26" t="s">
        <v>14</v>
      </c>
      <c r="C37" s="25"/>
      <c r="E37" s="24"/>
      <c r="F37" s="96" t="s">
        <v>13</v>
      </c>
      <c r="G37" s="97"/>
      <c r="H37" s="27">
        <f>SUM(H34:H36)</f>
        <v>2385</v>
      </c>
    </row>
    <row r="38" spans="2:9" x14ac:dyDescent="0.25">
      <c r="B38" s="26" t="s">
        <v>12</v>
      </c>
      <c r="C38" s="25"/>
      <c r="E38" s="24"/>
      <c r="F38" s="23" t="s">
        <v>11</v>
      </c>
      <c r="G38" s="23"/>
      <c r="H38" s="22">
        <f>SUM(H33+H37+H40)</f>
        <v>15635</v>
      </c>
    </row>
    <row r="39" spans="2:9" x14ac:dyDescent="0.25">
      <c r="B39" s="21"/>
      <c r="C39" s="20"/>
      <c r="D39" s="20"/>
      <c r="E39" s="19"/>
      <c r="F39" s="18" t="s">
        <v>10</v>
      </c>
      <c r="G39" s="18"/>
      <c r="H39" s="17"/>
    </row>
    <row r="40" spans="2:9" ht="14.45" customHeight="1" x14ac:dyDescent="0.25">
      <c r="B40" s="138" t="s">
        <v>67</v>
      </c>
      <c r="C40" s="139"/>
      <c r="D40" s="139"/>
      <c r="E40" s="140"/>
      <c r="F40" s="96" t="s">
        <v>9</v>
      </c>
      <c r="G40" s="97"/>
      <c r="H40" s="17"/>
    </row>
    <row r="41" spans="2:9" ht="15.75" thickBot="1" x14ac:dyDescent="0.3">
      <c r="B41" s="141"/>
      <c r="C41" s="142"/>
      <c r="D41" s="142"/>
      <c r="E41" s="143"/>
      <c r="F41" s="144"/>
      <c r="G41" s="145"/>
      <c r="H41" s="49"/>
    </row>
    <row r="42" spans="2:9" x14ac:dyDescent="0.25">
      <c r="B42" s="15" t="s">
        <v>8</v>
      </c>
      <c r="C42" s="14"/>
      <c r="D42" s="14"/>
      <c r="E42" s="131" t="s">
        <v>7</v>
      </c>
      <c r="F42" s="131"/>
      <c r="G42" s="131"/>
      <c r="H42" s="132"/>
      <c r="I42" s="61"/>
    </row>
    <row r="43" spans="2:9" ht="18.75" x14ac:dyDescent="0.3">
      <c r="B43" s="13" t="s">
        <v>6</v>
      </c>
      <c r="E43" s="133" t="s">
        <v>5</v>
      </c>
      <c r="F43" s="133"/>
      <c r="G43" s="133"/>
      <c r="H43" s="134"/>
    </row>
    <row r="44" spans="2:9" ht="18.75" x14ac:dyDescent="0.3">
      <c r="B44" s="12" t="s">
        <v>62</v>
      </c>
      <c r="C44" s="11"/>
      <c r="D44" s="10"/>
      <c r="E44" s="10"/>
      <c r="F44" s="5"/>
      <c r="G44" s="5"/>
      <c r="H44" s="4"/>
    </row>
    <row r="45" spans="2:9" x14ac:dyDescent="0.25">
      <c r="B45" s="9" t="s">
        <v>3</v>
      </c>
      <c r="C45" s="8"/>
      <c r="D45" s="8"/>
      <c r="E45" s="8"/>
      <c r="F45" s="7"/>
      <c r="G45" s="5"/>
      <c r="H45" s="4"/>
    </row>
    <row r="46" spans="2:9" x14ac:dyDescent="0.25">
      <c r="B46" s="9" t="s">
        <v>2</v>
      </c>
      <c r="C46" s="8"/>
      <c r="D46" s="8"/>
      <c r="E46" s="8"/>
      <c r="F46" s="7"/>
      <c r="G46" s="5"/>
      <c r="H46" s="4"/>
    </row>
    <row r="47" spans="2:9" x14ac:dyDescent="0.25">
      <c r="B47" s="6"/>
      <c r="F47" s="5"/>
      <c r="G47" s="5"/>
      <c r="H47" s="4"/>
    </row>
    <row r="48" spans="2:9" ht="15.75" thickBot="1" x14ac:dyDescent="0.3">
      <c r="B48" s="3" t="s">
        <v>1</v>
      </c>
      <c r="C48" s="2"/>
      <c r="D48" s="2"/>
      <c r="E48" s="2"/>
      <c r="F48" s="2"/>
      <c r="G48" s="2"/>
      <c r="H48" s="1" t="s">
        <v>0</v>
      </c>
    </row>
    <row r="49" spans="2:8" ht="15.75" thickBot="1" x14ac:dyDescent="0.3">
      <c r="B49" s="98" t="s">
        <v>55</v>
      </c>
      <c r="C49" s="98"/>
      <c r="D49" s="98"/>
      <c r="E49" s="98"/>
      <c r="F49" s="98"/>
      <c r="G49" s="98"/>
      <c r="H49" s="98"/>
    </row>
    <row r="50" spans="2:8" ht="21" x14ac:dyDescent="0.35">
      <c r="B50" s="99" t="s">
        <v>53</v>
      </c>
      <c r="C50" s="100"/>
      <c r="D50" s="100"/>
      <c r="E50" s="100"/>
      <c r="F50" s="100"/>
      <c r="G50" s="100"/>
      <c r="H50" s="101"/>
    </row>
    <row r="51" spans="2:8" ht="28.5" x14ac:dyDescent="0.45">
      <c r="B51" s="102" t="s">
        <v>52</v>
      </c>
      <c r="C51" s="103"/>
      <c r="D51" s="103"/>
      <c r="E51" s="103"/>
      <c r="F51" s="103"/>
      <c r="G51" s="103"/>
      <c r="H51" s="104"/>
    </row>
    <row r="52" spans="2:8" x14ac:dyDescent="0.25">
      <c r="B52" s="105" t="s">
        <v>51</v>
      </c>
      <c r="C52" s="106"/>
      <c r="D52" s="106"/>
      <c r="E52" s="106"/>
      <c r="F52" s="106"/>
      <c r="G52" s="106"/>
      <c r="H52" s="107"/>
    </row>
    <row r="53" spans="2:8" ht="21.75" thickBot="1" x14ac:dyDescent="0.4">
      <c r="B53" s="108" t="s">
        <v>50</v>
      </c>
      <c r="C53" s="109"/>
      <c r="D53" s="109"/>
      <c r="E53" s="109"/>
      <c r="F53" s="109"/>
      <c r="G53" s="109"/>
      <c r="H53" s="110"/>
    </row>
    <row r="54" spans="2:8" x14ac:dyDescent="0.25">
      <c r="B54" s="111" t="s">
        <v>49</v>
      </c>
      <c r="C54" s="112"/>
      <c r="D54" s="112"/>
      <c r="E54" s="112"/>
      <c r="F54" s="112"/>
      <c r="G54" s="112"/>
      <c r="H54" s="113"/>
    </row>
    <row r="55" spans="2:8" x14ac:dyDescent="0.25">
      <c r="B55" s="114" t="s">
        <v>48</v>
      </c>
      <c r="C55" s="115"/>
      <c r="D55" s="115"/>
      <c r="E55" s="115"/>
      <c r="F55" s="115"/>
      <c r="G55" s="115"/>
      <c r="H55" s="116"/>
    </row>
    <row r="56" spans="2:8" ht="15.75" customHeight="1" x14ac:dyDescent="0.25">
      <c r="B56" s="55" t="s">
        <v>47</v>
      </c>
      <c r="C56" s="30"/>
      <c r="D56" s="117" t="s">
        <v>46</v>
      </c>
      <c r="E56" s="118"/>
      <c r="F56" s="118"/>
      <c r="G56" s="118"/>
      <c r="H56" s="119"/>
    </row>
    <row r="57" spans="2:8" ht="21" x14ac:dyDescent="0.35">
      <c r="B57" s="59"/>
      <c r="C57" s="30"/>
      <c r="D57" s="33" t="s">
        <v>45</v>
      </c>
      <c r="E57" s="33"/>
      <c r="F57" s="30" t="s">
        <v>64</v>
      </c>
      <c r="G57" s="56" t="s">
        <v>40</v>
      </c>
      <c r="H57" s="57">
        <v>46271</v>
      </c>
    </row>
    <row r="58" spans="2:8" x14ac:dyDescent="0.25">
      <c r="B58" s="55"/>
      <c r="C58" s="30"/>
      <c r="D58" s="33" t="s">
        <v>44</v>
      </c>
      <c r="E58" s="33"/>
      <c r="F58" s="30" t="s">
        <v>64</v>
      </c>
      <c r="G58" s="56" t="s">
        <v>40</v>
      </c>
      <c r="H58" s="57">
        <v>46271</v>
      </c>
    </row>
    <row r="59" spans="2:8" x14ac:dyDescent="0.25">
      <c r="B59" s="55"/>
      <c r="C59" s="30"/>
      <c r="D59" s="33" t="s">
        <v>43</v>
      </c>
      <c r="E59" s="33"/>
      <c r="F59" s="81"/>
      <c r="G59" s="56" t="s">
        <v>40</v>
      </c>
      <c r="H59" s="57"/>
    </row>
    <row r="60" spans="2:8" x14ac:dyDescent="0.25">
      <c r="B60" s="55"/>
      <c r="C60" s="30"/>
      <c r="D60" s="33" t="s">
        <v>58</v>
      </c>
      <c r="E60" s="33"/>
      <c r="F60" s="82" t="s">
        <v>68</v>
      </c>
      <c r="G60" s="56" t="s">
        <v>40</v>
      </c>
      <c r="H60" s="57">
        <v>46271</v>
      </c>
    </row>
    <row r="61" spans="2:8" x14ac:dyDescent="0.25">
      <c r="B61" s="55"/>
      <c r="C61" s="30"/>
      <c r="D61" s="33" t="s">
        <v>41</v>
      </c>
      <c r="E61" s="33"/>
      <c r="F61" s="30" t="s">
        <v>59</v>
      </c>
      <c r="G61" s="83" t="s">
        <v>40</v>
      </c>
      <c r="H61" s="84"/>
    </row>
    <row r="62" spans="2:8" x14ac:dyDescent="0.25">
      <c r="B62" s="53" t="s">
        <v>39</v>
      </c>
      <c r="C62" s="33"/>
      <c r="D62" s="33" t="s">
        <v>38</v>
      </c>
      <c r="E62" s="33"/>
      <c r="F62" s="30" t="s">
        <v>37</v>
      </c>
      <c r="G62" s="120" t="s">
        <v>36</v>
      </c>
      <c r="H62" s="121"/>
    </row>
    <row r="63" spans="2:8" ht="15.75" thickBot="1" x14ac:dyDescent="0.3">
      <c r="B63" s="52" t="s">
        <v>35</v>
      </c>
      <c r="C63" s="51"/>
      <c r="D63" s="51" t="s">
        <v>34</v>
      </c>
      <c r="E63" s="51"/>
      <c r="F63" s="51" t="s">
        <v>33</v>
      </c>
      <c r="G63" s="50" t="s">
        <v>63</v>
      </c>
      <c r="H63" s="49"/>
    </row>
    <row r="64" spans="2:8" ht="4.5" customHeight="1" thickBot="1" x14ac:dyDescent="0.3"/>
    <row r="65" spans="2:8" ht="30.75" thickBot="1" x14ac:dyDescent="0.3">
      <c r="B65" s="85" t="s">
        <v>32</v>
      </c>
      <c r="C65" s="86" t="s">
        <v>31</v>
      </c>
      <c r="D65" s="47" t="s">
        <v>30</v>
      </c>
      <c r="E65" s="46" t="s">
        <v>29</v>
      </c>
      <c r="F65" s="46" t="s">
        <v>28</v>
      </c>
      <c r="G65" s="46" t="s">
        <v>27</v>
      </c>
      <c r="H65" s="67" t="s">
        <v>26</v>
      </c>
    </row>
    <row r="66" spans="2:8" ht="15" customHeight="1" x14ac:dyDescent="0.25">
      <c r="B66" s="87">
        <v>1</v>
      </c>
      <c r="C66" s="88" t="s">
        <v>65</v>
      </c>
      <c r="D66" s="89">
        <v>82072000</v>
      </c>
      <c r="E66" s="90" t="s">
        <v>25</v>
      </c>
      <c r="F66" s="91">
        <v>1</v>
      </c>
      <c r="G66" s="92">
        <v>13250</v>
      </c>
      <c r="H66" s="93">
        <f>SUM(F66*G66)</f>
        <v>13250</v>
      </c>
    </row>
    <row r="67" spans="2:8" x14ac:dyDescent="0.25">
      <c r="B67" s="62"/>
      <c r="C67" s="88" t="s">
        <v>66</v>
      </c>
      <c r="D67" s="89"/>
      <c r="E67" s="90"/>
      <c r="F67" s="91"/>
      <c r="G67" s="92"/>
      <c r="H67" s="93"/>
    </row>
    <row r="68" spans="2:8" x14ac:dyDescent="0.25">
      <c r="B68" s="87"/>
      <c r="C68" s="88"/>
      <c r="D68" s="89"/>
      <c r="E68" s="90"/>
      <c r="F68" s="91"/>
      <c r="G68" s="92"/>
      <c r="H68" s="93"/>
    </row>
    <row r="69" spans="2:8" x14ac:dyDescent="0.25">
      <c r="B69" s="62"/>
      <c r="C69" s="88"/>
      <c r="D69" s="89"/>
      <c r="E69" s="90"/>
      <c r="F69" s="91"/>
      <c r="G69" s="92"/>
      <c r="H69" s="93"/>
    </row>
    <row r="70" spans="2:8" x14ac:dyDescent="0.25">
      <c r="B70" s="62"/>
      <c r="C70" s="88"/>
      <c r="D70" s="89"/>
      <c r="E70" s="90"/>
      <c r="F70" s="91"/>
      <c r="G70" s="92"/>
      <c r="H70" s="93"/>
    </row>
    <row r="71" spans="2:8" x14ac:dyDescent="0.25">
      <c r="B71" s="87"/>
      <c r="C71" s="88"/>
      <c r="D71" s="89"/>
      <c r="E71" s="90"/>
      <c r="F71" s="91"/>
      <c r="G71" s="94"/>
      <c r="H71" s="93"/>
    </row>
    <row r="72" spans="2:8" x14ac:dyDescent="0.25">
      <c r="B72" s="62"/>
      <c r="C72" s="88"/>
      <c r="D72" s="89"/>
      <c r="E72" s="90"/>
      <c r="F72" s="91"/>
      <c r="G72" s="92"/>
      <c r="H72" s="93"/>
    </row>
    <row r="73" spans="2:8" x14ac:dyDescent="0.25">
      <c r="B73" s="62"/>
      <c r="C73" s="88"/>
      <c r="D73" s="89"/>
      <c r="E73" s="90"/>
      <c r="F73" s="91"/>
      <c r="G73" s="39"/>
      <c r="H73" s="93"/>
    </row>
    <row r="74" spans="2:8" x14ac:dyDescent="0.25">
      <c r="B74" s="62"/>
      <c r="C74" s="88"/>
      <c r="D74" s="89"/>
      <c r="E74" s="90"/>
      <c r="F74" s="91"/>
      <c r="G74" s="92"/>
      <c r="H74" s="93"/>
    </row>
    <row r="75" spans="2:8" x14ac:dyDescent="0.25">
      <c r="B75" s="62"/>
      <c r="C75" s="81"/>
      <c r="D75" s="89"/>
      <c r="E75" s="90"/>
      <c r="F75" s="91"/>
      <c r="G75" s="39"/>
      <c r="H75" s="93"/>
    </row>
    <row r="76" spans="2:8" x14ac:dyDescent="0.25">
      <c r="B76" s="62"/>
      <c r="C76" s="81"/>
      <c r="D76" s="37"/>
      <c r="E76" s="37"/>
      <c r="F76" s="68"/>
      <c r="G76" s="39"/>
      <c r="H76" s="93"/>
    </row>
    <row r="77" spans="2:8" x14ac:dyDescent="0.25">
      <c r="B77" s="62"/>
      <c r="C77" s="81"/>
      <c r="D77" s="89"/>
      <c r="E77" s="90"/>
      <c r="F77" s="91"/>
      <c r="G77" s="30"/>
      <c r="H77" s="17"/>
    </row>
    <row r="78" spans="2:8" x14ac:dyDescent="0.25">
      <c r="B78" s="41"/>
      <c r="C78" s="81"/>
      <c r="D78" s="89"/>
      <c r="E78" s="90"/>
      <c r="F78" s="91"/>
      <c r="G78" s="39"/>
      <c r="H78" s="93"/>
    </row>
    <row r="79" spans="2:8" x14ac:dyDescent="0.25">
      <c r="B79" s="55"/>
      <c r="C79" s="81"/>
      <c r="D79" s="30"/>
      <c r="E79" s="30"/>
      <c r="F79" s="68"/>
      <c r="G79" s="30"/>
      <c r="H79" s="17"/>
    </row>
    <row r="80" spans="2:8" ht="21" x14ac:dyDescent="0.35">
      <c r="B80" s="136" t="s">
        <v>61</v>
      </c>
      <c r="C80" s="137"/>
      <c r="D80" s="124" t="s">
        <v>23</v>
      </c>
      <c r="E80" s="125"/>
      <c r="F80" s="37">
        <f>SUM(F66:F79)</f>
        <v>1</v>
      </c>
      <c r="G80" s="30"/>
      <c r="H80" s="17"/>
    </row>
    <row r="81" spans="2:8" x14ac:dyDescent="0.25">
      <c r="B81" s="36"/>
      <c r="C81" s="35"/>
      <c r="D81" s="35"/>
      <c r="E81" s="34"/>
      <c r="F81" s="33" t="s">
        <v>22</v>
      </c>
      <c r="G81" s="33"/>
      <c r="H81" s="27">
        <f>SUM(H66:H80)</f>
        <v>13250</v>
      </c>
    </row>
    <row r="82" spans="2:8" x14ac:dyDescent="0.25">
      <c r="B82" s="32" t="s">
        <v>21</v>
      </c>
      <c r="C82" s="31"/>
      <c r="E82" s="24"/>
      <c r="F82" s="30" t="s">
        <v>20</v>
      </c>
      <c r="G82" s="29">
        <v>0.09</v>
      </c>
      <c r="H82" s="27">
        <f>SUM(H81*G82)</f>
        <v>1192.5</v>
      </c>
    </row>
    <row r="83" spans="2:8" x14ac:dyDescent="0.25">
      <c r="B83" s="26" t="s">
        <v>19</v>
      </c>
      <c r="C83" s="25"/>
      <c r="E83" s="24"/>
      <c r="F83" s="30" t="s">
        <v>18</v>
      </c>
      <c r="G83" s="29">
        <v>0.09</v>
      </c>
      <c r="H83" s="27">
        <f>SUM(H81*G83)</f>
        <v>1192.5</v>
      </c>
    </row>
    <row r="84" spans="2:8" x14ac:dyDescent="0.25">
      <c r="B84" s="26" t="s">
        <v>17</v>
      </c>
      <c r="C84" s="25"/>
      <c r="E84" s="24"/>
      <c r="F84" s="30" t="s">
        <v>16</v>
      </c>
      <c r="G84" s="29">
        <v>0.18</v>
      </c>
      <c r="H84" s="28" t="s">
        <v>15</v>
      </c>
    </row>
    <row r="85" spans="2:8" x14ac:dyDescent="0.25">
      <c r="B85" s="26" t="s">
        <v>14</v>
      </c>
      <c r="C85" s="25"/>
      <c r="E85" s="24"/>
      <c r="F85" s="96" t="s">
        <v>13</v>
      </c>
      <c r="G85" s="97"/>
      <c r="H85" s="27">
        <f>SUM(H82:H84)</f>
        <v>2385</v>
      </c>
    </row>
    <row r="86" spans="2:8" x14ac:dyDescent="0.25">
      <c r="B86" s="26" t="s">
        <v>12</v>
      </c>
      <c r="C86" s="25"/>
      <c r="E86" s="24"/>
      <c r="F86" s="23" t="s">
        <v>11</v>
      </c>
      <c r="G86" s="23"/>
      <c r="H86" s="22">
        <f>SUM(H81+H85+H88)</f>
        <v>15635</v>
      </c>
    </row>
    <row r="87" spans="2:8" x14ac:dyDescent="0.25">
      <c r="B87" s="21"/>
      <c r="C87" s="20"/>
      <c r="D87" s="20"/>
      <c r="E87" s="19"/>
      <c r="F87" s="18" t="s">
        <v>10</v>
      </c>
      <c r="G87" s="18"/>
      <c r="H87" s="17"/>
    </row>
    <row r="88" spans="2:8" ht="15" customHeight="1" x14ac:dyDescent="0.25">
      <c r="B88" s="138" t="s">
        <v>67</v>
      </c>
      <c r="C88" s="139"/>
      <c r="D88" s="139"/>
      <c r="E88" s="140"/>
      <c r="F88" s="96" t="s">
        <v>9</v>
      </c>
      <c r="G88" s="97"/>
      <c r="H88" s="17"/>
    </row>
    <row r="89" spans="2:8" ht="15.75" thickBot="1" x14ac:dyDescent="0.3">
      <c r="B89" s="141"/>
      <c r="C89" s="142"/>
      <c r="D89" s="142"/>
      <c r="E89" s="143"/>
      <c r="F89" s="144"/>
      <c r="G89" s="145"/>
      <c r="H89" s="49"/>
    </row>
    <row r="90" spans="2:8" x14ac:dyDescent="0.25">
      <c r="B90" s="15" t="s">
        <v>8</v>
      </c>
      <c r="C90" s="14"/>
      <c r="D90" s="14"/>
      <c r="E90" s="131" t="s">
        <v>7</v>
      </c>
      <c r="F90" s="131"/>
      <c r="G90" s="131"/>
      <c r="H90" s="132"/>
    </row>
    <row r="91" spans="2:8" ht="18.75" x14ac:dyDescent="0.3">
      <c r="B91" s="13" t="s">
        <v>6</v>
      </c>
      <c r="E91" s="133" t="s">
        <v>5</v>
      </c>
      <c r="F91" s="133"/>
      <c r="G91" s="133"/>
      <c r="H91" s="134"/>
    </row>
    <row r="92" spans="2:8" ht="18.75" x14ac:dyDescent="0.3">
      <c r="B92" s="12" t="s">
        <v>62</v>
      </c>
      <c r="C92" s="11"/>
      <c r="D92" s="10"/>
      <c r="E92" s="10"/>
      <c r="F92" s="5"/>
      <c r="G92" s="5"/>
      <c r="H92" s="4"/>
    </row>
    <row r="93" spans="2:8" x14ac:dyDescent="0.25">
      <c r="B93" s="9" t="s">
        <v>3</v>
      </c>
      <c r="C93" s="8"/>
      <c r="D93" s="8"/>
      <c r="E93" s="8"/>
      <c r="F93" s="7"/>
      <c r="G93" s="5"/>
      <c r="H93" s="4"/>
    </row>
    <row r="94" spans="2:8" x14ac:dyDescent="0.25">
      <c r="B94" s="9" t="s">
        <v>2</v>
      </c>
      <c r="C94" s="8"/>
      <c r="D94" s="8"/>
      <c r="E94" s="8"/>
      <c r="F94" s="7"/>
      <c r="G94" s="5"/>
      <c r="H94" s="4"/>
    </row>
    <row r="95" spans="2:8" ht="15.75" customHeight="1" x14ac:dyDescent="0.25">
      <c r="B95" s="6"/>
      <c r="F95" s="5"/>
      <c r="G95" s="5"/>
      <c r="H95" s="4"/>
    </row>
    <row r="96" spans="2:8" ht="15.75" thickBot="1" x14ac:dyDescent="0.3">
      <c r="B96" s="3" t="s">
        <v>1</v>
      </c>
      <c r="C96" s="2"/>
      <c r="D96" s="2"/>
      <c r="E96" s="2"/>
      <c r="F96" s="2"/>
      <c r="G96" s="2"/>
      <c r="H96" s="1" t="s">
        <v>0</v>
      </c>
    </row>
    <row r="97" spans="2:8" ht="18.75" customHeight="1" thickBot="1" x14ac:dyDescent="0.3">
      <c r="B97" s="98" t="s">
        <v>54</v>
      </c>
      <c r="C97" s="98"/>
      <c r="D97" s="98"/>
      <c r="E97" s="98"/>
      <c r="F97" s="98"/>
      <c r="G97" s="98"/>
      <c r="H97" s="98"/>
    </row>
    <row r="98" spans="2:8" ht="21" x14ac:dyDescent="0.35">
      <c r="B98" s="99" t="s">
        <v>53</v>
      </c>
      <c r="C98" s="100"/>
      <c r="D98" s="100"/>
      <c r="E98" s="100"/>
      <c r="F98" s="100"/>
      <c r="G98" s="100"/>
      <c r="H98" s="101"/>
    </row>
    <row r="99" spans="2:8" ht="28.5" x14ac:dyDescent="0.45">
      <c r="B99" s="102" t="s">
        <v>52</v>
      </c>
      <c r="C99" s="103"/>
      <c r="D99" s="103"/>
      <c r="E99" s="103"/>
      <c r="F99" s="103"/>
      <c r="G99" s="103"/>
      <c r="H99" s="104"/>
    </row>
    <row r="100" spans="2:8" x14ac:dyDescent="0.25">
      <c r="B100" s="105" t="s">
        <v>51</v>
      </c>
      <c r="C100" s="106"/>
      <c r="D100" s="106"/>
      <c r="E100" s="106"/>
      <c r="F100" s="106"/>
      <c r="G100" s="106"/>
      <c r="H100" s="107"/>
    </row>
    <row r="101" spans="2:8" ht="21.75" thickBot="1" x14ac:dyDescent="0.4">
      <c r="B101" s="108" t="s">
        <v>50</v>
      </c>
      <c r="C101" s="109"/>
      <c r="D101" s="109"/>
      <c r="E101" s="109"/>
      <c r="F101" s="109"/>
      <c r="G101" s="109"/>
      <c r="H101" s="110"/>
    </row>
    <row r="102" spans="2:8" x14ac:dyDescent="0.25">
      <c r="B102" s="111" t="s">
        <v>49</v>
      </c>
      <c r="C102" s="112"/>
      <c r="D102" s="112"/>
      <c r="E102" s="112"/>
      <c r="F102" s="112"/>
      <c r="G102" s="112"/>
      <c r="H102" s="113"/>
    </row>
    <row r="103" spans="2:8" x14ac:dyDescent="0.25">
      <c r="B103" s="114" t="s">
        <v>48</v>
      </c>
      <c r="C103" s="115"/>
      <c r="D103" s="115"/>
      <c r="E103" s="115"/>
      <c r="F103" s="115"/>
      <c r="G103" s="115"/>
      <c r="H103" s="116"/>
    </row>
    <row r="104" spans="2:8" ht="15.75" customHeight="1" x14ac:dyDescent="0.25">
      <c r="B104" s="55" t="s">
        <v>47</v>
      </c>
      <c r="C104" s="30"/>
      <c r="D104" s="117" t="s">
        <v>46</v>
      </c>
      <c r="E104" s="118"/>
      <c r="F104" s="118"/>
      <c r="G104" s="118"/>
      <c r="H104" s="119"/>
    </row>
    <row r="105" spans="2:8" ht="21" x14ac:dyDescent="0.35">
      <c r="B105" s="59"/>
      <c r="C105" s="30"/>
      <c r="D105" s="33" t="s">
        <v>45</v>
      </c>
      <c r="E105" s="33"/>
      <c r="F105" s="30" t="s">
        <v>64</v>
      </c>
      <c r="G105" s="56" t="s">
        <v>40</v>
      </c>
      <c r="H105" s="57">
        <v>46271</v>
      </c>
    </row>
    <row r="106" spans="2:8" x14ac:dyDescent="0.25">
      <c r="B106" s="55"/>
      <c r="C106" s="30"/>
      <c r="D106" s="33" t="s">
        <v>44</v>
      </c>
      <c r="E106" s="33"/>
      <c r="F106" s="30" t="s">
        <v>64</v>
      </c>
      <c r="G106" s="56" t="s">
        <v>40</v>
      </c>
      <c r="H106" s="57">
        <v>46271</v>
      </c>
    </row>
    <row r="107" spans="2:8" x14ac:dyDescent="0.25">
      <c r="B107" s="55"/>
      <c r="C107" s="30"/>
      <c r="D107" s="33" t="s">
        <v>43</v>
      </c>
      <c r="E107" s="33"/>
      <c r="F107" s="81"/>
      <c r="G107" s="56" t="s">
        <v>40</v>
      </c>
      <c r="H107" s="57"/>
    </row>
    <row r="108" spans="2:8" x14ac:dyDescent="0.25">
      <c r="B108" s="55"/>
      <c r="C108" s="30"/>
      <c r="D108" s="33" t="s">
        <v>58</v>
      </c>
      <c r="E108" s="33"/>
      <c r="F108" s="82" t="s">
        <v>68</v>
      </c>
      <c r="G108" s="56" t="s">
        <v>40</v>
      </c>
      <c r="H108" s="57">
        <v>46271</v>
      </c>
    </row>
    <row r="109" spans="2:8" x14ac:dyDescent="0.25">
      <c r="B109" s="55"/>
      <c r="C109" s="30"/>
      <c r="D109" s="33" t="s">
        <v>41</v>
      </c>
      <c r="E109" s="33"/>
      <c r="F109" s="30" t="s">
        <v>59</v>
      </c>
      <c r="G109" s="83" t="s">
        <v>40</v>
      </c>
      <c r="H109" s="84"/>
    </row>
    <row r="110" spans="2:8" x14ac:dyDescent="0.25">
      <c r="B110" s="53" t="s">
        <v>39</v>
      </c>
      <c r="C110" s="33"/>
      <c r="D110" s="33" t="s">
        <v>38</v>
      </c>
      <c r="E110" s="33"/>
      <c r="F110" s="30" t="s">
        <v>37</v>
      </c>
      <c r="G110" s="120" t="s">
        <v>36</v>
      </c>
      <c r="H110" s="121"/>
    </row>
    <row r="111" spans="2:8" ht="15.75" thickBot="1" x14ac:dyDescent="0.3">
      <c r="B111" s="52" t="s">
        <v>35</v>
      </c>
      <c r="C111" s="51"/>
      <c r="D111" s="51" t="s">
        <v>34</v>
      </c>
      <c r="E111" s="51"/>
      <c r="F111" s="51" t="s">
        <v>33</v>
      </c>
      <c r="G111" s="50" t="s">
        <v>63</v>
      </c>
      <c r="H111" s="49"/>
    </row>
    <row r="112" spans="2:8" ht="3.75" customHeight="1" thickBot="1" x14ac:dyDescent="0.3"/>
    <row r="113" spans="2:8" ht="30.75" thickBot="1" x14ac:dyDescent="0.3">
      <c r="B113" s="85" t="s">
        <v>32</v>
      </c>
      <c r="C113" s="86" t="s">
        <v>31</v>
      </c>
      <c r="D113" s="47" t="s">
        <v>30</v>
      </c>
      <c r="E113" s="46" t="s">
        <v>29</v>
      </c>
      <c r="F113" s="46" t="s">
        <v>28</v>
      </c>
      <c r="G113" s="46" t="s">
        <v>27</v>
      </c>
      <c r="H113" s="67" t="s">
        <v>26</v>
      </c>
    </row>
    <row r="114" spans="2:8" ht="15" customHeight="1" x14ac:dyDescent="0.25">
      <c r="B114" s="87">
        <v>1</v>
      </c>
      <c r="C114" s="88" t="s">
        <v>65</v>
      </c>
      <c r="D114" s="89">
        <v>82072000</v>
      </c>
      <c r="E114" s="90" t="s">
        <v>25</v>
      </c>
      <c r="F114" s="91">
        <v>1</v>
      </c>
      <c r="G114" s="92">
        <v>13250</v>
      </c>
      <c r="H114" s="93">
        <f>SUM(F114*G114)</f>
        <v>13250</v>
      </c>
    </row>
    <row r="115" spans="2:8" x14ac:dyDescent="0.25">
      <c r="B115" s="62"/>
      <c r="C115" s="88" t="s">
        <v>66</v>
      </c>
      <c r="D115" s="89"/>
      <c r="E115" s="90"/>
      <c r="F115" s="91"/>
      <c r="G115" s="92"/>
      <c r="H115" s="93"/>
    </row>
    <row r="116" spans="2:8" x14ac:dyDescent="0.25">
      <c r="B116" s="87"/>
      <c r="C116" s="88"/>
      <c r="D116" s="89"/>
      <c r="E116" s="90"/>
      <c r="F116" s="91"/>
      <c r="G116" s="92"/>
      <c r="H116" s="93"/>
    </row>
    <row r="117" spans="2:8" ht="15" customHeight="1" x14ac:dyDescent="0.25">
      <c r="B117" s="62"/>
      <c r="C117" s="88"/>
      <c r="D117" s="89"/>
      <c r="E117" s="90"/>
      <c r="F117" s="91"/>
      <c r="G117" s="92"/>
      <c r="H117" s="93"/>
    </row>
    <row r="118" spans="2:8" x14ac:dyDescent="0.25">
      <c r="B118" s="62"/>
      <c r="C118" s="88"/>
      <c r="D118" s="89"/>
      <c r="E118" s="90"/>
      <c r="F118" s="91"/>
      <c r="G118" s="92"/>
      <c r="H118" s="93"/>
    </row>
    <row r="119" spans="2:8" x14ac:dyDescent="0.25">
      <c r="B119" s="87"/>
      <c r="C119" s="88"/>
      <c r="D119" s="89"/>
      <c r="E119" s="90"/>
      <c r="F119" s="91"/>
      <c r="G119" s="94"/>
      <c r="H119" s="93"/>
    </row>
    <row r="120" spans="2:8" x14ac:dyDescent="0.25">
      <c r="B120" s="62"/>
      <c r="C120" s="88"/>
      <c r="D120" s="89"/>
      <c r="E120" s="90"/>
      <c r="F120" s="91"/>
      <c r="G120" s="92"/>
      <c r="H120" s="93"/>
    </row>
    <row r="121" spans="2:8" x14ac:dyDescent="0.25">
      <c r="B121" s="62"/>
      <c r="C121" s="88"/>
      <c r="D121" s="89"/>
      <c r="E121" s="90"/>
      <c r="F121" s="91"/>
      <c r="G121" s="39"/>
      <c r="H121" s="93"/>
    </row>
    <row r="122" spans="2:8" x14ac:dyDescent="0.25">
      <c r="B122" s="62"/>
      <c r="C122" s="88"/>
      <c r="D122" s="89"/>
      <c r="E122" s="90"/>
      <c r="F122" s="91"/>
      <c r="G122" s="92"/>
      <c r="H122" s="93"/>
    </row>
    <row r="123" spans="2:8" x14ac:dyDescent="0.25">
      <c r="B123" s="62"/>
      <c r="C123" s="81"/>
      <c r="D123" s="89"/>
      <c r="E123" s="90"/>
      <c r="F123" s="91"/>
      <c r="G123" s="39"/>
      <c r="H123" s="93"/>
    </row>
    <row r="124" spans="2:8" x14ac:dyDescent="0.25">
      <c r="B124" s="62"/>
      <c r="C124" s="81"/>
      <c r="D124" s="37"/>
      <c r="E124" s="37"/>
      <c r="F124" s="68"/>
      <c r="G124" s="39"/>
      <c r="H124" s="93"/>
    </row>
    <row r="125" spans="2:8" x14ac:dyDescent="0.25">
      <c r="B125" s="62"/>
      <c r="C125" s="81"/>
      <c r="D125" s="89"/>
      <c r="E125" s="90"/>
      <c r="F125" s="91"/>
      <c r="G125" s="30"/>
      <c r="H125" s="17"/>
    </row>
    <row r="126" spans="2:8" x14ac:dyDescent="0.25">
      <c r="B126" s="41"/>
      <c r="C126" s="81"/>
      <c r="D126" s="89"/>
      <c r="E126" s="90"/>
      <c r="F126" s="91"/>
      <c r="G126" s="39"/>
      <c r="H126" s="93"/>
    </row>
    <row r="127" spans="2:8" x14ac:dyDescent="0.25">
      <c r="B127" s="55"/>
      <c r="C127" s="81"/>
      <c r="D127" s="30"/>
      <c r="E127" s="30"/>
      <c r="F127" s="68"/>
      <c r="G127" s="30"/>
      <c r="H127" s="17"/>
    </row>
    <row r="128" spans="2:8" ht="21" x14ac:dyDescent="0.35">
      <c r="B128" s="136" t="s">
        <v>61</v>
      </c>
      <c r="C128" s="137"/>
      <c r="D128" s="124" t="s">
        <v>23</v>
      </c>
      <c r="E128" s="125"/>
      <c r="F128" s="37">
        <f>SUM(F114:F127)</f>
        <v>1</v>
      </c>
      <c r="G128" s="30"/>
      <c r="H128" s="17"/>
    </row>
    <row r="129" spans="2:8" x14ac:dyDescent="0.25">
      <c r="B129" s="36"/>
      <c r="C129" s="35"/>
      <c r="D129" s="35"/>
      <c r="E129" s="34"/>
      <c r="F129" s="33" t="s">
        <v>22</v>
      </c>
      <c r="G129" s="33"/>
      <c r="H129" s="27">
        <f>SUM(H114:H128)</f>
        <v>13250</v>
      </c>
    </row>
    <row r="130" spans="2:8" x14ac:dyDescent="0.25">
      <c r="B130" s="32" t="s">
        <v>21</v>
      </c>
      <c r="C130" s="31"/>
      <c r="E130" s="24"/>
      <c r="F130" s="30" t="s">
        <v>20</v>
      </c>
      <c r="G130" s="29">
        <v>0.09</v>
      </c>
      <c r="H130" s="27">
        <f>SUM(H129*G130)</f>
        <v>1192.5</v>
      </c>
    </row>
    <row r="131" spans="2:8" x14ac:dyDescent="0.25">
      <c r="B131" s="26" t="s">
        <v>19</v>
      </c>
      <c r="C131" s="25"/>
      <c r="E131" s="24"/>
      <c r="F131" s="30" t="s">
        <v>18</v>
      </c>
      <c r="G131" s="29">
        <v>0.09</v>
      </c>
      <c r="H131" s="27">
        <f>SUM(H129*G131)</f>
        <v>1192.5</v>
      </c>
    </row>
    <row r="132" spans="2:8" x14ac:dyDescent="0.25">
      <c r="B132" s="26" t="s">
        <v>17</v>
      </c>
      <c r="C132" s="25"/>
      <c r="E132" s="24"/>
      <c r="F132" s="30" t="s">
        <v>16</v>
      </c>
      <c r="G132" s="29">
        <v>0.18</v>
      </c>
      <c r="H132" s="28" t="s">
        <v>15</v>
      </c>
    </row>
    <row r="133" spans="2:8" x14ac:dyDescent="0.25">
      <c r="B133" s="26" t="s">
        <v>14</v>
      </c>
      <c r="C133" s="25"/>
      <c r="E133" s="24"/>
      <c r="F133" s="96" t="s">
        <v>13</v>
      </c>
      <c r="G133" s="97"/>
      <c r="H133" s="27">
        <f>SUM(H130:H132)</f>
        <v>2385</v>
      </c>
    </row>
    <row r="134" spans="2:8" x14ac:dyDescent="0.25">
      <c r="B134" s="26" t="s">
        <v>12</v>
      </c>
      <c r="C134" s="25"/>
      <c r="E134" s="24"/>
      <c r="F134" s="23" t="s">
        <v>11</v>
      </c>
      <c r="G134" s="23"/>
      <c r="H134" s="22">
        <f>SUM(H129+H133+H136)</f>
        <v>15635</v>
      </c>
    </row>
    <row r="135" spans="2:8" x14ac:dyDescent="0.25">
      <c r="B135" s="21"/>
      <c r="C135" s="20"/>
      <c r="D135" s="20"/>
      <c r="E135" s="19"/>
      <c r="F135" s="18" t="s">
        <v>10</v>
      </c>
      <c r="G135" s="18"/>
      <c r="H135" s="17"/>
    </row>
    <row r="136" spans="2:8" ht="15" customHeight="1" x14ac:dyDescent="0.25">
      <c r="B136" s="138" t="s">
        <v>67</v>
      </c>
      <c r="C136" s="139"/>
      <c r="D136" s="139"/>
      <c r="E136" s="140"/>
      <c r="F136" s="96" t="s">
        <v>9</v>
      </c>
      <c r="G136" s="97"/>
      <c r="H136" s="17"/>
    </row>
    <row r="137" spans="2:8" ht="15.75" thickBot="1" x14ac:dyDescent="0.3">
      <c r="B137" s="141"/>
      <c r="C137" s="142"/>
      <c r="D137" s="142"/>
      <c r="E137" s="143"/>
      <c r="F137" s="144"/>
      <c r="G137" s="145"/>
      <c r="H137" s="49"/>
    </row>
    <row r="138" spans="2:8" x14ac:dyDescent="0.25">
      <c r="B138" s="15" t="s">
        <v>8</v>
      </c>
      <c r="C138" s="14"/>
      <c r="D138" s="14"/>
      <c r="E138" s="131" t="s">
        <v>7</v>
      </c>
      <c r="F138" s="131"/>
      <c r="G138" s="131"/>
      <c r="H138" s="132"/>
    </row>
    <row r="139" spans="2:8" ht="18.75" x14ac:dyDescent="0.3">
      <c r="B139" s="13" t="s">
        <v>6</v>
      </c>
      <c r="E139" s="133" t="s">
        <v>5</v>
      </c>
      <c r="F139" s="133"/>
      <c r="G139" s="133"/>
      <c r="H139" s="134"/>
    </row>
    <row r="140" spans="2:8" ht="18.75" x14ac:dyDescent="0.3">
      <c r="B140" s="12" t="s">
        <v>62</v>
      </c>
      <c r="C140" s="11"/>
      <c r="D140" s="10"/>
      <c r="E140" s="10"/>
      <c r="F140" s="5"/>
      <c r="G140" s="5"/>
      <c r="H140" s="4"/>
    </row>
    <row r="141" spans="2:8" x14ac:dyDescent="0.25">
      <c r="B141" s="9" t="s">
        <v>3</v>
      </c>
      <c r="C141" s="8"/>
      <c r="D141" s="8"/>
      <c r="E141" s="8"/>
      <c r="F141" s="7"/>
      <c r="G141" s="5"/>
      <c r="H141" s="4"/>
    </row>
    <row r="142" spans="2:8" x14ac:dyDescent="0.25">
      <c r="B142" s="9" t="s">
        <v>2</v>
      </c>
      <c r="C142" s="8"/>
      <c r="D142" s="8"/>
      <c r="E142" s="8"/>
      <c r="F142" s="7"/>
      <c r="G142" s="5"/>
      <c r="H142" s="4"/>
    </row>
    <row r="143" spans="2:8" x14ac:dyDescent="0.25">
      <c r="B143" s="6"/>
      <c r="F143" s="5"/>
      <c r="G143" s="5"/>
      <c r="H143" s="4"/>
    </row>
    <row r="144" spans="2:8" ht="15.75" thickBot="1" x14ac:dyDescent="0.3">
      <c r="B144" s="3" t="s">
        <v>1</v>
      </c>
      <c r="C144" s="2"/>
      <c r="D144" s="2"/>
      <c r="E144" s="2"/>
      <c r="F144" s="2"/>
      <c r="G144" s="2"/>
      <c r="H144" s="1" t="s">
        <v>0</v>
      </c>
    </row>
  </sheetData>
  <mergeCells count="51">
    <mergeCell ref="F37:G37"/>
    <mergeCell ref="B1:H1"/>
    <mergeCell ref="B2:H2"/>
    <mergeCell ref="B3:H3"/>
    <mergeCell ref="B4:H4"/>
    <mergeCell ref="B5:H5"/>
    <mergeCell ref="B6:H6"/>
    <mergeCell ref="B7:H7"/>
    <mergeCell ref="D8:H8"/>
    <mergeCell ref="G14:H14"/>
    <mergeCell ref="B32:C32"/>
    <mergeCell ref="D32:E32"/>
    <mergeCell ref="B55:H55"/>
    <mergeCell ref="B40:E41"/>
    <mergeCell ref="F40:G40"/>
    <mergeCell ref="F41:G41"/>
    <mergeCell ref="E42:H42"/>
    <mergeCell ref="E43:H43"/>
    <mergeCell ref="B49:H49"/>
    <mergeCell ref="B50:H50"/>
    <mergeCell ref="B51:H51"/>
    <mergeCell ref="B52:H52"/>
    <mergeCell ref="B53:H53"/>
    <mergeCell ref="B54:H54"/>
    <mergeCell ref="B100:H100"/>
    <mergeCell ref="D56:H56"/>
    <mergeCell ref="G62:H62"/>
    <mergeCell ref="B80:C80"/>
    <mergeCell ref="D80:E80"/>
    <mergeCell ref="F85:G85"/>
    <mergeCell ref="B88:E89"/>
    <mergeCell ref="F88:G88"/>
    <mergeCell ref="F89:G89"/>
    <mergeCell ref="E90:H90"/>
    <mergeCell ref="E91:H91"/>
    <mergeCell ref="B97:H97"/>
    <mergeCell ref="B98:H98"/>
    <mergeCell ref="B99:H99"/>
    <mergeCell ref="E139:H139"/>
    <mergeCell ref="B101:H101"/>
    <mergeCell ref="B102:H102"/>
    <mergeCell ref="B103:H103"/>
    <mergeCell ref="D104:H104"/>
    <mergeCell ref="G110:H110"/>
    <mergeCell ref="B128:C128"/>
    <mergeCell ref="D128:E128"/>
    <mergeCell ref="F133:G133"/>
    <mergeCell ref="B136:E137"/>
    <mergeCell ref="F136:G136"/>
    <mergeCell ref="F137:G137"/>
    <mergeCell ref="E138:H138"/>
  </mergeCells>
  <pageMargins left="0.17" right="0.17" top="0.3" bottom="0.88" header="0.17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AE8D-A20D-4C18-B1C2-D0340A686D21}">
  <sheetPr>
    <tabColor theme="0"/>
  </sheetPr>
  <dimension ref="B1:X149"/>
  <sheetViews>
    <sheetView tabSelected="1" topLeftCell="A101" zoomScaleNormal="100" workbookViewId="0">
      <selection activeCell="N112" sqref="N112"/>
    </sheetView>
  </sheetViews>
  <sheetFormatPr defaultRowHeight="15" x14ac:dyDescent="0.25"/>
  <cols>
    <col min="1" max="1" width="0.5703125" customWidth="1"/>
    <col min="2" max="2" width="3.7109375" customWidth="1"/>
    <col min="3" max="3" width="38.85546875" customWidth="1"/>
    <col min="4" max="4" width="9.5703125" customWidth="1"/>
    <col min="5" max="5" width="7.85546875" customWidth="1"/>
    <col min="6" max="6" width="15.85546875" customWidth="1"/>
    <col min="7" max="7" width="11.85546875" customWidth="1"/>
    <col min="8" max="8" width="11.7109375" customWidth="1"/>
    <col min="9" max="9" width="0.7109375" customWidth="1"/>
  </cols>
  <sheetData>
    <row r="1" spans="2:8" ht="15.75" thickBot="1" x14ac:dyDescent="0.3">
      <c r="B1" s="98" t="s">
        <v>56</v>
      </c>
      <c r="C1" s="98"/>
      <c r="D1" s="98"/>
      <c r="E1" s="98"/>
      <c r="F1" s="98"/>
      <c r="G1" s="98"/>
      <c r="H1" s="98"/>
    </row>
    <row r="2" spans="2:8" ht="21" x14ac:dyDescent="0.35">
      <c r="B2" s="99" t="s">
        <v>53</v>
      </c>
      <c r="C2" s="100"/>
      <c r="D2" s="100"/>
      <c r="E2" s="100"/>
      <c r="F2" s="100"/>
      <c r="G2" s="100"/>
      <c r="H2" s="101"/>
    </row>
    <row r="3" spans="2:8" ht="28.5" x14ac:dyDescent="0.45">
      <c r="B3" s="102" t="s">
        <v>52</v>
      </c>
      <c r="C3" s="103"/>
      <c r="D3" s="103"/>
      <c r="E3" s="103"/>
      <c r="F3" s="103"/>
      <c r="G3" s="103"/>
      <c r="H3" s="104"/>
    </row>
    <row r="4" spans="2:8" x14ac:dyDescent="0.25">
      <c r="B4" s="105" t="s">
        <v>51</v>
      </c>
      <c r="C4" s="106"/>
      <c r="D4" s="106"/>
      <c r="E4" s="106"/>
      <c r="F4" s="106"/>
      <c r="G4" s="106"/>
      <c r="H4" s="107"/>
    </row>
    <row r="5" spans="2:8" ht="21.75" thickBot="1" x14ac:dyDescent="0.4">
      <c r="B5" s="108" t="s">
        <v>50</v>
      </c>
      <c r="C5" s="109"/>
      <c r="D5" s="109"/>
      <c r="E5" s="109"/>
      <c r="F5" s="109"/>
      <c r="G5" s="109"/>
      <c r="H5" s="110"/>
    </row>
    <row r="6" spans="2:8" x14ac:dyDescent="0.25">
      <c r="B6" s="111" t="s">
        <v>49</v>
      </c>
      <c r="C6" s="112"/>
      <c r="D6" s="112"/>
      <c r="E6" s="112"/>
      <c r="F6" s="112"/>
      <c r="G6" s="112"/>
      <c r="H6" s="113"/>
    </row>
    <row r="7" spans="2:8" x14ac:dyDescent="0.25">
      <c r="B7" s="114" t="s">
        <v>48</v>
      </c>
      <c r="C7" s="115"/>
      <c r="D7" s="115"/>
      <c r="E7" s="115"/>
      <c r="F7" s="115"/>
      <c r="G7" s="115"/>
      <c r="H7" s="116"/>
    </row>
    <row r="8" spans="2:8" ht="15.75" customHeight="1" x14ac:dyDescent="0.25">
      <c r="B8" s="55" t="s">
        <v>47</v>
      </c>
      <c r="C8" s="30"/>
      <c r="D8" s="117" t="s">
        <v>46</v>
      </c>
      <c r="E8" s="118"/>
      <c r="F8" s="118"/>
      <c r="G8" s="118"/>
      <c r="H8" s="119"/>
    </row>
    <row r="9" spans="2:8" ht="21" x14ac:dyDescent="0.35">
      <c r="B9" s="59"/>
      <c r="C9" s="30"/>
      <c r="D9" s="33" t="s">
        <v>45</v>
      </c>
      <c r="E9" s="33"/>
      <c r="F9" s="37" t="s">
        <v>70</v>
      </c>
      <c r="G9" s="69" t="s">
        <v>40</v>
      </c>
      <c r="H9" s="57">
        <v>46285</v>
      </c>
    </row>
    <row r="10" spans="2:8" x14ac:dyDescent="0.25">
      <c r="B10" s="55"/>
      <c r="C10" s="30"/>
      <c r="D10" s="33" t="s">
        <v>44</v>
      </c>
      <c r="E10" s="33"/>
      <c r="F10" s="37" t="s">
        <v>70</v>
      </c>
      <c r="G10" s="69" t="s">
        <v>40</v>
      </c>
      <c r="H10" s="57">
        <v>46285</v>
      </c>
    </row>
    <row r="11" spans="2:8" x14ac:dyDescent="0.25">
      <c r="B11" s="55"/>
      <c r="C11" s="30"/>
      <c r="D11" s="33" t="s">
        <v>43</v>
      </c>
      <c r="E11" s="33"/>
      <c r="F11" s="58"/>
      <c r="G11" s="56" t="s">
        <v>40</v>
      </c>
      <c r="H11" s="57"/>
    </row>
    <row r="12" spans="2:8" x14ac:dyDescent="0.25">
      <c r="B12" s="55"/>
      <c r="C12" s="30"/>
      <c r="D12" s="33" t="s">
        <v>42</v>
      </c>
      <c r="E12" s="33"/>
      <c r="F12" s="63" t="s">
        <v>71</v>
      </c>
      <c r="G12" s="56" t="s">
        <v>40</v>
      </c>
      <c r="H12" s="57">
        <v>46280</v>
      </c>
    </row>
    <row r="13" spans="2:8" x14ac:dyDescent="0.25">
      <c r="B13" s="55"/>
      <c r="C13" s="30"/>
      <c r="D13" s="33" t="s">
        <v>41</v>
      </c>
      <c r="E13" s="33"/>
      <c r="F13" s="71"/>
      <c r="G13" s="54" t="s">
        <v>40</v>
      </c>
      <c r="H13" s="57"/>
    </row>
    <row r="14" spans="2:8" x14ac:dyDescent="0.25">
      <c r="B14" s="53" t="s">
        <v>39</v>
      </c>
      <c r="C14" s="33"/>
      <c r="D14" s="33" t="s">
        <v>38</v>
      </c>
      <c r="E14" s="33"/>
      <c r="F14" s="30" t="s">
        <v>37</v>
      </c>
      <c r="G14" s="120" t="s">
        <v>36</v>
      </c>
      <c r="H14" s="121"/>
    </row>
    <row r="15" spans="2:8" ht="15.75" thickBot="1" x14ac:dyDescent="0.3">
      <c r="B15" s="52" t="s">
        <v>35</v>
      </c>
      <c r="C15" s="51"/>
      <c r="D15" s="51" t="s">
        <v>34</v>
      </c>
      <c r="E15" s="51"/>
      <c r="F15" s="51" t="s">
        <v>33</v>
      </c>
      <c r="G15" s="50" t="s">
        <v>69</v>
      </c>
      <c r="H15" s="49"/>
    </row>
    <row r="16" spans="2:8" ht="3.75" customHeight="1" thickBot="1" x14ac:dyDescent="0.3">
      <c r="B16" s="6"/>
      <c r="H16" s="4"/>
    </row>
    <row r="17" spans="2:13" ht="39.75" thickBot="1" x14ac:dyDescent="0.3">
      <c r="B17" s="48" t="s">
        <v>32</v>
      </c>
      <c r="C17" s="46" t="s">
        <v>31</v>
      </c>
      <c r="D17" s="47" t="s">
        <v>30</v>
      </c>
      <c r="E17" s="46" t="s">
        <v>29</v>
      </c>
      <c r="F17" s="46" t="s">
        <v>28</v>
      </c>
      <c r="G17" s="46" t="s">
        <v>27</v>
      </c>
      <c r="H17" s="67" t="s">
        <v>26</v>
      </c>
      <c r="M17" t="s">
        <v>57</v>
      </c>
    </row>
    <row r="18" spans="2:13" ht="15" customHeight="1" x14ac:dyDescent="0.25">
      <c r="B18" s="45">
        <v>1</v>
      </c>
      <c r="C18" s="72" t="s">
        <v>72</v>
      </c>
      <c r="D18" s="79">
        <v>82072000</v>
      </c>
      <c r="E18" s="43" t="s">
        <v>25</v>
      </c>
      <c r="F18" s="42">
        <v>1</v>
      </c>
      <c r="G18" s="74">
        <v>24237</v>
      </c>
      <c r="H18" s="76">
        <f>SUM(F18*G18)</f>
        <v>24237</v>
      </c>
    </row>
    <row r="19" spans="2:13" x14ac:dyDescent="0.25">
      <c r="B19" s="41"/>
      <c r="C19" s="73" t="s">
        <v>73</v>
      </c>
      <c r="D19" s="65"/>
      <c r="E19" s="43"/>
      <c r="F19" s="42"/>
      <c r="G19" s="75"/>
      <c r="H19" s="76"/>
    </row>
    <row r="20" spans="2:13" ht="15" customHeight="1" x14ac:dyDescent="0.25">
      <c r="B20" s="41">
        <v>2</v>
      </c>
      <c r="C20" s="63" t="s">
        <v>74</v>
      </c>
      <c r="D20" s="79">
        <v>82072000</v>
      </c>
      <c r="E20" s="43" t="s">
        <v>25</v>
      </c>
      <c r="F20" s="42">
        <v>1</v>
      </c>
      <c r="G20" s="75">
        <v>11600</v>
      </c>
      <c r="H20" s="76">
        <f>SUM(F20*G20)</f>
        <v>11600</v>
      </c>
      <c r="L20" s="60"/>
    </row>
    <row r="21" spans="2:13" ht="15" customHeight="1" x14ac:dyDescent="0.25">
      <c r="B21" s="41"/>
      <c r="C21" s="77" t="s">
        <v>75</v>
      </c>
      <c r="D21" s="78"/>
      <c r="E21" s="43"/>
      <c r="F21" s="42"/>
      <c r="G21" s="75"/>
      <c r="H21" s="76"/>
      <c r="L21" s="60"/>
    </row>
    <row r="22" spans="2:13" x14ac:dyDescent="0.25">
      <c r="B22" s="62"/>
      <c r="C22" s="63"/>
      <c r="D22" s="79"/>
      <c r="E22" s="43"/>
      <c r="F22" s="42"/>
      <c r="G22" s="75"/>
      <c r="H22" s="76"/>
    </row>
    <row r="23" spans="2:13" ht="15" customHeight="1" x14ac:dyDescent="0.25">
      <c r="B23" s="62"/>
      <c r="C23" s="77"/>
      <c r="D23" s="65"/>
      <c r="E23" s="43"/>
      <c r="F23" s="42"/>
      <c r="G23" s="75"/>
      <c r="H23" s="76"/>
    </row>
    <row r="24" spans="2:13" x14ac:dyDescent="0.25">
      <c r="B24" s="62"/>
      <c r="C24" s="63"/>
      <c r="D24" s="66"/>
      <c r="E24" s="43"/>
      <c r="F24" s="42"/>
      <c r="G24" s="75"/>
      <c r="H24" s="76"/>
    </row>
    <row r="25" spans="2:13" x14ac:dyDescent="0.25">
      <c r="B25" s="62"/>
      <c r="C25" s="80"/>
      <c r="D25" s="66"/>
      <c r="E25" s="43"/>
      <c r="F25" s="42"/>
      <c r="G25" s="75"/>
      <c r="H25" s="76"/>
    </row>
    <row r="26" spans="2:13" x14ac:dyDescent="0.25">
      <c r="B26" s="62"/>
      <c r="C26" s="63"/>
      <c r="D26" s="66"/>
      <c r="E26" s="43"/>
      <c r="F26" s="42"/>
      <c r="G26" s="75"/>
      <c r="H26" s="76"/>
    </row>
    <row r="27" spans="2:13" x14ac:dyDescent="0.25">
      <c r="B27" s="62"/>
      <c r="C27" s="64"/>
      <c r="D27" s="37"/>
      <c r="E27" s="37"/>
      <c r="F27" s="68"/>
      <c r="G27" s="75"/>
      <c r="H27" s="76"/>
    </row>
    <row r="28" spans="2:13" x14ac:dyDescent="0.25">
      <c r="B28" s="62"/>
      <c r="C28" s="63"/>
      <c r="D28" s="66"/>
      <c r="E28" s="43"/>
      <c r="F28" s="42"/>
      <c r="G28" s="75"/>
      <c r="H28" s="76"/>
    </row>
    <row r="29" spans="2:13" x14ac:dyDescent="0.25">
      <c r="B29" s="62"/>
      <c r="C29" s="64"/>
      <c r="D29" s="37"/>
      <c r="E29" s="37"/>
      <c r="F29" s="68"/>
      <c r="G29" s="75"/>
      <c r="H29" s="76"/>
    </row>
    <row r="30" spans="2:13" ht="15" customHeight="1" x14ac:dyDescent="0.25">
      <c r="B30" s="62"/>
      <c r="C30" s="70"/>
      <c r="D30" s="66"/>
      <c r="E30" s="43"/>
      <c r="F30" s="42"/>
      <c r="G30" s="44"/>
      <c r="H30" s="38"/>
    </row>
    <row r="31" spans="2:13" ht="15" customHeight="1" x14ac:dyDescent="0.25">
      <c r="B31" s="55"/>
      <c r="C31" s="64"/>
      <c r="D31" s="30"/>
      <c r="E31" s="30"/>
      <c r="F31" s="68"/>
      <c r="G31" s="39"/>
      <c r="H31" s="38"/>
    </row>
    <row r="32" spans="2:13" ht="15" customHeight="1" x14ac:dyDescent="0.25">
      <c r="B32" s="62"/>
      <c r="C32" s="63"/>
      <c r="D32" s="66"/>
      <c r="E32" s="43"/>
      <c r="F32" s="42"/>
      <c r="G32" s="39"/>
      <c r="H32" s="38"/>
    </row>
    <row r="33" spans="2:9" ht="15" customHeight="1" x14ac:dyDescent="0.25">
      <c r="B33" s="55"/>
      <c r="C33" s="64"/>
      <c r="D33" s="30"/>
      <c r="E33" s="30"/>
      <c r="F33" s="68"/>
      <c r="G33" s="39"/>
      <c r="H33" s="38"/>
    </row>
    <row r="34" spans="2:9" ht="15" customHeight="1" x14ac:dyDescent="0.25">
      <c r="B34" s="122" t="s">
        <v>24</v>
      </c>
      <c r="C34" s="123"/>
      <c r="D34" s="124" t="s">
        <v>23</v>
      </c>
      <c r="E34" s="125"/>
      <c r="F34" s="37">
        <f>SUM(F18:F33)</f>
        <v>2</v>
      </c>
      <c r="G34" s="30"/>
      <c r="H34" s="17"/>
    </row>
    <row r="35" spans="2:9" x14ac:dyDescent="0.25">
      <c r="B35" s="36"/>
      <c r="C35" s="35"/>
      <c r="D35" s="35"/>
      <c r="E35" s="34"/>
      <c r="F35" s="33" t="s">
        <v>22</v>
      </c>
      <c r="G35" s="33"/>
      <c r="H35" s="27">
        <f>SUM(H18:H34)</f>
        <v>35837</v>
      </c>
    </row>
    <row r="36" spans="2:9" x14ac:dyDescent="0.25">
      <c r="B36" s="32" t="s">
        <v>21</v>
      </c>
      <c r="C36" s="31"/>
      <c r="E36" s="24"/>
      <c r="F36" s="30" t="s">
        <v>20</v>
      </c>
      <c r="G36" s="29">
        <v>0.09</v>
      </c>
      <c r="H36" s="27">
        <f>SUM(H35*G36)</f>
        <v>3225.33</v>
      </c>
    </row>
    <row r="37" spans="2:9" x14ac:dyDescent="0.25">
      <c r="B37" s="26" t="s">
        <v>19</v>
      </c>
      <c r="C37" s="25"/>
      <c r="E37" s="24"/>
      <c r="F37" s="30" t="s">
        <v>18</v>
      </c>
      <c r="G37" s="29">
        <v>0.09</v>
      </c>
      <c r="H37" s="27">
        <f>SUM(H35*G37)</f>
        <v>3225.33</v>
      </c>
    </row>
    <row r="38" spans="2:9" x14ac:dyDescent="0.25">
      <c r="B38" s="26" t="s">
        <v>17</v>
      </c>
      <c r="C38" s="25"/>
      <c r="E38" s="24"/>
      <c r="F38" s="30" t="s">
        <v>16</v>
      </c>
      <c r="G38" s="29">
        <v>0.18</v>
      </c>
      <c r="H38" s="28" t="s">
        <v>15</v>
      </c>
    </row>
    <row r="39" spans="2:9" x14ac:dyDescent="0.25">
      <c r="B39" s="26" t="s">
        <v>14</v>
      </c>
      <c r="C39" s="25"/>
      <c r="E39" s="24"/>
      <c r="F39" s="96" t="s">
        <v>13</v>
      </c>
      <c r="G39" s="97"/>
      <c r="H39" s="27">
        <f>SUM(H36:H38)</f>
        <v>6450.66</v>
      </c>
    </row>
    <row r="40" spans="2:9" x14ac:dyDescent="0.25">
      <c r="B40" s="26" t="s">
        <v>12</v>
      </c>
      <c r="C40" s="25"/>
      <c r="E40" s="24"/>
      <c r="F40" s="23" t="s">
        <v>11</v>
      </c>
      <c r="G40" s="23"/>
      <c r="H40" s="22">
        <f>SUM(H35+H39+H42)</f>
        <v>42288</v>
      </c>
    </row>
    <row r="41" spans="2:9" x14ac:dyDescent="0.25">
      <c r="B41" s="21"/>
      <c r="C41" s="20"/>
      <c r="D41" s="20"/>
      <c r="E41" s="19"/>
      <c r="F41" s="18" t="s">
        <v>10</v>
      </c>
      <c r="G41" s="18"/>
      <c r="H41" s="17"/>
    </row>
    <row r="42" spans="2:9" ht="27.75" customHeight="1" thickBot="1" x14ac:dyDescent="0.3">
      <c r="B42" s="126" t="s">
        <v>76</v>
      </c>
      <c r="C42" s="127"/>
      <c r="D42" s="127"/>
      <c r="E42" s="128"/>
      <c r="F42" s="129" t="s">
        <v>9</v>
      </c>
      <c r="G42" s="130"/>
      <c r="H42" s="16">
        <v>0.34</v>
      </c>
    </row>
    <row r="43" spans="2:9" ht="27.6" customHeight="1" x14ac:dyDescent="0.25">
      <c r="B43" s="15" t="s">
        <v>8</v>
      </c>
      <c r="C43" s="14"/>
      <c r="D43" s="14"/>
      <c r="E43" s="131" t="s">
        <v>7</v>
      </c>
      <c r="F43" s="131"/>
      <c r="G43" s="131"/>
      <c r="H43" s="132"/>
    </row>
    <row r="44" spans="2:9" ht="18.75" x14ac:dyDescent="0.3">
      <c r="B44" s="13" t="s">
        <v>6</v>
      </c>
      <c r="E44" s="133" t="s">
        <v>5</v>
      </c>
      <c r="F44" s="133"/>
      <c r="G44" s="133"/>
      <c r="H44" s="134"/>
      <c r="I44" s="61"/>
    </row>
    <row r="45" spans="2:9" ht="18.75" x14ac:dyDescent="0.3">
      <c r="B45" s="12" t="s">
        <v>4</v>
      </c>
      <c r="C45" s="11"/>
      <c r="D45" s="10"/>
      <c r="E45" s="10"/>
      <c r="F45" s="5"/>
      <c r="G45" s="5"/>
      <c r="H45" s="4"/>
    </row>
    <row r="46" spans="2:9" x14ac:dyDescent="0.25">
      <c r="B46" s="9" t="s">
        <v>3</v>
      </c>
      <c r="C46" s="8"/>
      <c r="D46" s="8"/>
      <c r="E46" s="8"/>
      <c r="F46" s="7"/>
      <c r="G46" s="5"/>
      <c r="H46" s="4"/>
    </row>
    <row r="47" spans="2:9" x14ac:dyDescent="0.25">
      <c r="B47" s="9" t="s">
        <v>2</v>
      </c>
      <c r="C47" s="8"/>
      <c r="D47" s="8"/>
      <c r="E47" s="8"/>
      <c r="F47" s="7"/>
      <c r="G47" s="5"/>
      <c r="H47" s="4"/>
    </row>
    <row r="48" spans="2:9" x14ac:dyDescent="0.25">
      <c r="B48" s="6"/>
      <c r="F48" s="5"/>
      <c r="G48" s="5"/>
      <c r="H48" s="4"/>
    </row>
    <row r="49" spans="2:24" ht="15.75" thickBot="1" x14ac:dyDescent="0.3">
      <c r="B49" s="3" t="s">
        <v>1</v>
      </c>
      <c r="C49" s="2"/>
      <c r="D49" s="2"/>
      <c r="E49" s="2"/>
      <c r="F49" s="2"/>
      <c r="G49" s="2"/>
      <c r="H49" s="1" t="s">
        <v>0</v>
      </c>
    </row>
    <row r="50" spans="2:24" x14ac:dyDescent="0.25">
      <c r="H50" s="95"/>
    </row>
    <row r="51" spans="2:24" ht="15.75" customHeight="1" thickBot="1" x14ac:dyDescent="0.3">
      <c r="B51" s="98" t="s">
        <v>55</v>
      </c>
      <c r="C51" s="98"/>
      <c r="D51" s="98"/>
      <c r="E51" s="98"/>
      <c r="F51" s="98"/>
      <c r="G51" s="98"/>
      <c r="H51" s="98"/>
    </row>
    <row r="52" spans="2:24" ht="21" x14ac:dyDescent="0.35">
      <c r="B52" s="99" t="s">
        <v>53</v>
      </c>
      <c r="C52" s="100"/>
      <c r="D52" s="100"/>
      <c r="E52" s="100"/>
      <c r="F52" s="100"/>
      <c r="G52" s="100"/>
      <c r="H52" s="101"/>
    </row>
    <row r="53" spans="2:24" ht="28.5" x14ac:dyDescent="0.45">
      <c r="B53" s="102" t="s">
        <v>52</v>
      </c>
      <c r="C53" s="103"/>
      <c r="D53" s="103"/>
      <c r="E53" s="103"/>
      <c r="F53" s="103"/>
      <c r="G53" s="103"/>
      <c r="H53" s="104"/>
    </row>
    <row r="54" spans="2:24" x14ac:dyDescent="0.25">
      <c r="B54" s="105" t="s">
        <v>51</v>
      </c>
      <c r="C54" s="106"/>
      <c r="D54" s="106"/>
      <c r="E54" s="106"/>
      <c r="F54" s="106"/>
      <c r="G54" s="106"/>
      <c r="H54" s="107"/>
    </row>
    <row r="55" spans="2:24" ht="21.75" thickBot="1" x14ac:dyDescent="0.4">
      <c r="B55" s="108" t="s">
        <v>50</v>
      </c>
      <c r="C55" s="109"/>
      <c r="D55" s="109"/>
      <c r="E55" s="109"/>
      <c r="F55" s="109"/>
      <c r="G55" s="109"/>
      <c r="H55" s="110"/>
    </row>
    <row r="56" spans="2:24" x14ac:dyDescent="0.25">
      <c r="B56" s="111" t="s">
        <v>49</v>
      </c>
      <c r="C56" s="112"/>
      <c r="D56" s="112"/>
      <c r="E56" s="112"/>
      <c r="F56" s="112"/>
      <c r="G56" s="112"/>
      <c r="H56" s="113"/>
    </row>
    <row r="57" spans="2:24" x14ac:dyDescent="0.25">
      <c r="B57" s="114" t="s">
        <v>48</v>
      </c>
      <c r="C57" s="115"/>
      <c r="D57" s="115"/>
      <c r="E57" s="115"/>
      <c r="F57" s="115"/>
      <c r="G57" s="115"/>
      <c r="H57" s="116"/>
      <c r="X57" s="40"/>
    </row>
    <row r="58" spans="2:24" ht="15.75" customHeight="1" x14ac:dyDescent="0.25">
      <c r="B58" s="55" t="s">
        <v>47</v>
      </c>
      <c r="C58" s="30"/>
      <c r="D58" s="117" t="s">
        <v>46</v>
      </c>
      <c r="E58" s="118"/>
      <c r="F58" s="118"/>
      <c r="G58" s="118"/>
      <c r="H58" s="119"/>
    </row>
    <row r="59" spans="2:24" ht="21" x14ac:dyDescent="0.35">
      <c r="B59" s="59"/>
      <c r="C59" s="30"/>
      <c r="D59" s="33" t="s">
        <v>45</v>
      </c>
      <c r="E59" s="33"/>
      <c r="F59" s="37" t="s">
        <v>70</v>
      </c>
      <c r="G59" s="69" t="s">
        <v>40</v>
      </c>
      <c r="H59" s="57">
        <v>46285</v>
      </c>
    </row>
    <row r="60" spans="2:24" x14ac:dyDescent="0.25">
      <c r="B60" s="55"/>
      <c r="C60" s="30"/>
      <c r="D60" s="33" t="s">
        <v>44</v>
      </c>
      <c r="E60" s="33"/>
      <c r="F60" s="37" t="s">
        <v>70</v>
      </c>
      <c r="G60" s="69" t="s">
        <v>40</v>
      </c>
      <c r="H60" s="57">
        <v>46285</v>
      </c>
    </row>
    <row r="61" spans="2:24" x14ac:dyDescent="0.25">
      <c r="B61" s="55"/>
      <c r="C61" s="30"/>
      <c r="D61" s="33" t="s">
        <v>43</v>
      </c>
      <c r="E61" s="33"/>
      <c r="F61" s="58"/>
      <c r="G61" s="56" t="s">
        <v>40</v>
      </c>
      <c r="H61" s="57"/>
    </row>
    <row r="62" spans="2:24" x14ac:dyDescent="0.25">
      <c r="B62" s="55"/>
      <c r="C62" s="30"/>
      <c r="D62" s="33" t="s">
        <v>42</v>
      </c>
      <c r="E62" s="33"/>
      <c r="F62" s="63" t="s">
        <v>71</v>
      </c>
      <c r="G62" s="56" t="s">
        <v>40</v>
      </c>
      <c r="H62" s="57">
        <v>46280</v>
      </c>
    </row>
    <row r="63" spans="2:24" x14ac:dyDescent="0.25">
      <c r="B63" s="55"/>
      <c r="C63" s="30"/>
      <c r="D63" s="33" t="s">
        <v>41</v>
      </c>
      <c r="E63" s="33"/>
      <c r="F63" s="71"/>
      <c r="G63" s="54" t="s">
        <v>40</v>
      </c>
      <c r="H63" s="57"/>
    </row>
    <row r="64" spans="2:24" x14ac:dyDescent="0.25">
      <c r="B64" s="53" t="s">
        <v>39</v>
      </c>
      <c r="C64" s="33"/>
      <c r="D64" s="33" t="s">
        <v>38</v>
      </c>
      <c r="E64" s="33"/>
      <c r="F64" s="30" t="s">
        <v>37</v>
      </c>
      <c r="G64" s="120" t="s">
        <v>36</v>
      </c>
      <c r="H64" s="121"/>
    </row>
    <row r="65" spans="2:8" ht="15.75" thickBot="1" x14ac:dyDescent="0.3">
      <c r="B65" s="52" t="s">
        <v>35</v>
      </c>
      <c r="C65" s="51"/>
      <c r="D65" s="51" t="s">
        <v>34</v>
      </c>
      <c r="E65" s="51"/>
      <c r="F65" s="51" t="s">
        <v>33</v>
      </c>
      <c r="G65" s="50" t="s">
        <v>69</v>
      </c>
      <c r="H65" s="49"/>
    </row>
    <row r="66" spans="2:8" ht="4.5" customHeight="1" thickBot="1" x14ac:dyDescent="0.3">
      <c r="B66" s="6"/>
      <c r="H66" s="4"/>
    </row>
    <row r="67" spans="2:8" ht="39.75" thickBot="1" x14ac:dyDescent="0.3">
      <c r="B67" s="48" t="s">
        <v>32</v>
      </c>
      <c r="C67" s="46" t="s">
        <v>31</v>
      </c>
      <c r="D67" s="47" t="s">
        <v>30</v>
      </c>
      <c r="E67" s="46" t="s">
        <v>29</v>
      </c>
      <c r="F67" s="46" t="s">
        <v>28</v>
      </c>
      <c r="G67" s="46" t="s">
        <v>27</v>
      </c>
      <c r="H67" s="67" t="s">
        <v>26</v>
      </c>
    </row>
    <row r="68" spans="2:8" x14ac:dyDescent="0.25">
      <c r="B68" s="45">
        <v>1</v>
      </c>
      <c r="C68" s="72" t="s">
        <v>72</v>
      </c>
      <c r="D68" s="79">
        <v>82072000</v>
      </c>
      <c r="E68" s="43" t="s">
        <v>25</v>
      </c>
      <c r="F68" s="42">
        <v>1</v>
      </c>
      <c r="G68" s="74">
        <v>24237</v>
      </c>
      <c r="H68" s="76">
        <f>SUM(F68*G68)</f>
        <v>24237</v>
      </c>
    </row>
    <row r="69" spans="2:8" x14ac:dyDescent="0.25">
      <c r="B69" s="41"/>
      <c r="C69" s="73" t="s">
        <v>73</v>
      </c>
      <c r="D69" s="65"/>
      <c r="E69" s="43"/>
      <c r="F69" s="42"/>
      <c r="G69" s="75"/>
      <c r="H69" s="76"/>
    </row>
    <row r="70" spans="2:8" ht="15" customHeight="1" x14ac:dyDescent="0.25">
      <c r="B70" s="41">
        <v>2</v>
      </c>
      <c r="C70" s="63" t="s">
        <v>74</v>
      </c>
      <c r="D70" s="79">
        <v>82072000</v>
      </c>
      <c r="E70" s="43" t="s">
        <v>25</v>
      </c>
      <c r="F70" s="42">
        <v>1</v>
      </c>
      <c r="G70" s="75">
        <v>11600</v>
      </c>
      <c r="H70" s="76">
        <f>SUM(F70*G70)</f>
        <v>11600</v>
      </c>
    </row>
    <row r="71" spans="2:8" x14ac:dyDescent="0.25">
      <c r="B71" s="41"/>
      <c r="C71" s="77" t="s">
        <v>75</v>
      </c>
      <c r="D71" s="78"/>
      <c r="E71" s="43"/>
      <c r="F71" s="42"/>
      <c r="G71" s="75"/>
      <c r="H71" s="76"/>
    </row>
    <row r="72" spans="2:8" ht="15" customHeight="1" x14ac:dyDescent="0.25">
      <c r="B72" s="62"/>
      <c r="C72" s="63"/>
      <c r="D72" s="79"/>
      <c r="E72" s="43"/>
      <c r="F72" s="42"/>
      <c r="G72" s="75"/>
      <c r="H72" s="76"/>
    </row>
    <row r="73" spans="2:8" x14ac:dyDescent="0.25">
      <c r="B73" s="62"/>
      <c r="C73" s="77"/>
      <c r="D73" s="65"/>
      <c r="E73" s="43"/>
      <c r="F73" s="42"/>
      <c r="G73" s="75"/>
      <c r="H73" s="76"/>
    </row>
    <row r="74" spans="2:8" x14ac:dyDescent="0.25">
      <c r="B74" s="62"/>
      <c r="C74" s="63"/>
      <c r="D74" s="66"/>
      <c r="E74" s="43"/>
      <c r="F74" s="42"/>
      <c r="G74" s="75"/>
      <c r="H74" s="76"/>
    </row>
    <row r="75" spans="2:8" x14ac:dyDescent="0.25">
      <c r="B75" s="62"/>
      <c r="C75" s="80"/>
      <c r="D75" s="66"/>
      <c r="E75" s="43"/>
      <c r="F75" s="42"/>
      <c r="G75" s="75"/>
      <c r="H75" s="76"/>
    </row>
    <row r="76" spans="2:8" x14ac:dyDescent="0.25">
      <c r="B76" s="62"/>
      <c r="C76" s="63"/>
      <c r="D76" s="66"/>
      <c r="E76" s="43"/>
      <c r="F76" s="42"/>
      <c r="G76" s="75"/>
      <c r="H76" s="76"/>
    </row>
    <row r="77" spans="2:8" x14ac:dyDescent="0.25">
      <c r="B77" s="62"/>
      <c r="C77" s="64"/>
      <c r="D77" s="37"/>
      <c r="E77" s="37"/>
      <c r="F77" s="68"/>
      <c r="G77" s="75"/>
      <c r="H77" s="76"/>
    </row>
    <row r="78" spans="2:8" x14ac:dyDescent="0.25">
      <c r="B78" s="62"/>
      <c r="C78" s="63"/>
      <c r="D78" s="66"/>
      <c r="E78" s="43"/>
      <c r="F78" s="42"/>
      <c r="G78" s="75"/>
      <c r="H78" s="76"/>
    </row>
    <row r="79" spans="2:8" x14ac:dyDescent="0.25">
      <c r="B79" s="62"/>
      <c r="C79" s="64"/>
      <c r="D79" s="37"/>
      <c r="E79" s="37"/>
      <c r="F79" s="68"/>
      <c r="G79" s="75"/>
      <c r="H79" s="76"/>
    </row>
    <row r="80" spans="2:8" x14ac:dyDescent="0.25">
      <c r="B80" s="62"/>
      <c r="C80" s="70"/>
      <c r="D80" s="66"/>
      <c r="E80" s="43"/>
      <c r="F80" s="42"/>
      <c r="G80" s="44"/>
      <c r="H80" s="38"/>
    </row>
    <row r="81" spans="2:9" x14ac:dyDescent="0.25">
      <c r="B81" s="55"/>
      <c r="C81" s="64"/>
      <c r="D81" s="30"/>
      <c r="E81" s="30"/>
      <c r="F81" s="68"/>
      <c r="G81" s="39"/>
      <c r="H81" s="38"/>
    </row>
    <row r="82" spans="2:9" x14ac:dyDescent="0.25">
      <c r="B82" s="62"/>
      <c r="C82" s="63"/>
      <c r="D82" s="66"/>
      <c r="E82" s="43"/>
      <c r="F82" s="42"/>
      <c r="G82" s="39"/>
      <c r="H82" s="38"/>
    </row>
    <row r="83" spans="2:9" x14ac:dyDescent="0.25">
      <c r="B83" s="55"/>
      <c r="C83" s="64"/>
      <c r="D83" s="30"/>
      <c r="E83" s="30"/>
      <c r="F83" s="68"/>
      <c r="G83" s="39"/>
      <c r="H83" s="38"/>
    </row>
    <row r="84" spans="2:9" ht="21" x14ac:dyDescent="0.25">
      <c r="B84" s="122" t="s">
        <v>24</v>
      </c>
      <c r="C84" s="123"/>
      <c r="D84" s="124" t="s">
        <v>23</v>
      </c>
      <c r="E84" s="125"/>
      <c r="F84" s="37">
        <f>SUM(F68:F83)</f>
        <v>2</v>
      </c>
      <c r="G84" s="30"/>
      <c r="H84" s="17"/>
    </row>
    <row r="85" spans="2:9" x14ac:dyDescent="0.25">
      <c r="B85" s="36"/>
      <c r="C85" s="35"/>
      <c r="D85" s="35"/>
      <c r="E85" s="34"/>
      <c r="F85" s="33" t="s">
        <v>22</v>
      </c>
      <c r="G85" s="33"/>
      <c r="H85" s="27">
        <f>SUM(H68:H84)</f>
        <v>35837</v>
      </c>
    </row>
    <row r="86" spans="2:9" x14ac:dyDescent="0.25">
      <c r="B86" s="32" t="s">
        <v>21</v>
      </c>
      <c r="C86" s="31"/>
      <c r="E86" s="24"/>
      <c r="F86" s="30" t="s">
        <v>20</v>
      </c>
      <c r="G86" s="29">
        <v>0.09</v>
      </c>
      <c r="H86" s="27">
        <f>SUM(H85*G86)</f>
        <v>3225.33</v>
      </c>
    </row>
    <row r="87" spans="2:9" x14ac:dyDescent="0.25">
      <c r="B87" s="26" t="s">
        <v>19</v>
      </c>
      <c r="C87" s="25"/>
      <c r="E87" s="24"/>
      <c r="F87" s="30" t="s">
        <v>18</v>
      </c>
      <c r="G87" s="29">
        <v>0.09</v>
      </c>
      <c r="H87" s="27">
        <f>SUM(H85*G87)</f>
        <v>3225.33</v>
      </c>
    </row>
    <row r="88" spans="2:9" x14ac:dyDescent="0.25">
      <c r="B88" s="26" t="s">
        <v>17</v>
      </c>
      <c r="C88" s="25"/>
      <c r="E88" s="24"/>
      <c r="F88" s="30" t="s">
        <v>16</v>
      </c>
      <c r="G88" s="29">
        <v>0.18</v>
      </c>
      <c r="H88" s="28" t="s">
        <v>15</v>
      </c>
    </row>
    <row r="89" spans="2:9" x14ac:dyDescent="0.25">
      <c r="B89" s="26" t="s">
        <v>14</v>
      </c>
      <c r="C89" s="25"/>
      <c r="E89" s="24"/>
      <c r="F89" s="96" t="s">
        <v>13</v>
      </c>
      <c r="G89" s="97"/>
      <c r="H89" s="27">
        <f>SUM(H86:H88)</f>
        <v>6450.66</v>
      </c>
    </row>
    <row r="90" spans="2:9" ht="15" customHeight="1" x14ac:dyDescent="0.25">
      <c r="B90" s="26" t="s">
        <v>12</v>
      </c>
      <c r="C90" s="25"/>
      <c r="E90" s="24"/>
      <c r="F90" s="23" t="s">
        <v>11</v>
      </c>
      <c r="G90" s="23"/>
      <c r="H90" s="22">
        <f>SUM(H85+H89+H92)</f>
        <v>42288</v>
      </c>
    </row>
    <row r="91" spans="2:9" x14ac:dyDescent="0.25">
      <c r="B91" s="21"/>
      <c r="C91" s="20"/>
      <c r="D91" s="20"/>
      <c r="E91" s="19"/>
      <c r="F91" s="18" t="s">
        <v>10</v>
      </c>
      <c r="G91" s="18"/>
      <c r="H91" s="17"/>
      <c r="I91" s="60"/>
    </row>
    <row r="92" spans="2:9" ht="15.75" customHeight="1" thickBot="1" x14ac:dyDescent="0.3">
      <c r="B92" s="126" t="s">
        <v>76</v>
      </c>
      <c r="C92" s="127"/>
      <c r="D92" s="127"/>
      <c r="E92" s="128"/>
      <c r="F92" s="129" t="s">
        <v>9</v>
      </c>
      <c r="G92" s="130"/>
      <c r="H92" s="16">
        <v>0.34</v>
      </c>
    </row>
    <row r="93" spans="2:9" ht="29.25" customHeight="1" x14ac:dyDescent="0.25">
      <c r="B93" s="15" t="s">
        <v>8</v>
      </c>
      <c r="C93" s="14"/>
      <c r="D93" s="14"/>
      <c r="E93" s="131" t="s">
        <v>7</v>
      </c>
      <c r="F93" s="131"/>
      <c r="G93" s="131"/>
      <c r="H93" s="132"/>
    </row>
    <row r="94" spans="2:9" ht="18.75" x14ac:dyDescent="0.3">
      <c r="B94" s="13" t="s">
        <v>6</v>
      </c>
      <c r="E94" s="133" t="s">
        <v>5</v>
      </c>
      <c r="F94" s="133"/>
      <c r="G94" s="133"/>
      <c r="H94" s="134"/>
    </row>
    <row r="95" spans="2:9" ht="18.75" x14ac:dyDescent="0.3">
      <c r="B95" s="12" t="s">
        <v>4</v>
      </c>
      <c r="C95" s="11"/>
      <c r="D95" s="10"/>
      <c r="E95" s="10"/>
      <c r="F95" s="5"/>
      <c r="G95" s="5"/>
      <c r="H95" s="4"/>
    </row>
    <row r="96" spans="2:9" x14ac:dyDescent="0.25">
      <c r="B96" s="9" t="s">
        <v>3</v>
      </c>
      <c r="C96" s="8"/>
      <c r="D96" s="8"/>
      <c r="E96" s="8"/>
      <c r="F96" s="7"/>
      <c r="G96" s="5"/>
      <c r="H96" s="4"/>
    </row>
    <row r="97" spans="2:8" x14ac:dyDescent="0.25">
      <c r="B97" s="9" t="s">
        <v>2</v>
      </c>
      <c r="C97" s="8"/>
      <c r="D97" s="8"/>
      <c r="E97" s="8"/>
      <c r="F97" s="7"/>
      <c r="G97" s="5"/>
      <c r="H97" s="4"/>
    </row>
    <row r="98" spans="2:8" x14ac:dyDescent="0.25">
      <c r="B98" s="6"/>
      <c r="F98" s="5"/>
      <c r="G98" s="5"/>
      <c r="H98" s="4"/>
    </row>
    <row r="99" spans="2:8" ht="15.75" thickBot="1" x14ac:dyDescent="0.3">
      <c r="B99" s="3" t="s">
        <v>1</v>
      </c>
      <c r="C99" s="2"/>
      <c r="D99" s="2"/>
      <c r="E99" s="2"/>
      <c r="F99" s="2"/>
      <c r="G99" s="2"/>
      <c r="H99" s="1" t="s">
        <v>0</v>
      </c>
    </row>
    <row r="100" spans="2:8" x14ac:dyDescent="0.25">
      <c r="H100" s="95"/>
    </row>
    <row r="101" spans="2:8" ht="18" customHeight="1" thickBot="1" x14ac:dyDescent="0.3">
      <c r="B101" s="135" t="s">
        <v>54</v>
      </c>
      <c r="C101" s="135"/>
      <c r="D101" s="135"/>
      <c r="E101" s="135"/>
      <c r="F101" s="135"/>
      <c r="G101" s="135"/>
      <c r="H101" s="135"/>
    </row>
    <row r="102" spans="2:8" ht="21" x14ac:dyDescent="0.35">
      <c r="B102" s="99" t="s">
        <v>53</v>
      </c>
      <c r="C102" s="100"/>
      <c r="D102" s="100"/>
      <c r="E102" s="100"/>
      <c r="F102" s="100"/>
      <c r="G102" s="100"/>
      <c r="H102" s="101"/>
    </row>
    <row r="103" spans="2:8" ht="28.5" x14ac:dyDescent="0.45">
      <c r="B103" s="102" t="s">
        <v>52</v>
      </c>
      <c r="C103" s="103"/>
      <c r="D103" s="103"/>
      <c r="E103" s="103"/>
      <c r="F103" s="103"/>
      <c r="G103" s="103"/>
      <c r="H103" s="104"/>
    </row>
    <row r="104" spans="2:8" x14ac:dyDescent="0.25">
      <c r="B104" s="105" t="s">
        <v>51</v>
      </c>
      <c r="C104" s="106"/>
      <c r="D104" s="106"/>
      <c r="E104" s="106"/>
      <c r="F104" s="106"/>
      <c r="G104" s="106"/>
      <c r="H104" s="107"/>
    </row>
    <row r="105" spans="2:8" ht="21.75" thickBot="1" x14ac:dyDescent="0.4">
      <c r="B105" s="108" t="s">
        <v>50</v>
      </c>
      <c r="C105" s="109"/>
      <c r="D105" s="109"/>
      <c r="E105" s="109"/>
      <c r="F105" s="109"/>
      <c r="G105" s="109"/>
      <c r="H105" s="110"/>
    </row>
    <row r="106" spans="2:8" x14ac:dyDescent="0.25">
      <c r="B106" s="111" t="s">
        <v>49</v>
      </c>
      <c r="C106" s="112"/>
      <c r="D106" s="112"/>
      <c r="E106" s="112"/>
      <c r="F106" s="112"/>
      <c r="G106" s="112"/>
      <c r="H106" s="113"/>
    </row>
    <row r="107" spans="2:8" x14ac:dyDescent="0.25">
      <c r="B107" s="114" t="s">
        <v>48</v>
      </c>
      <c r="C107" s="115"/>
      <c r="D107" s="115"/>
      <c r="E107" s="115"/>
      <c r="F107" s="115"/>
      <c r="G107" s="115"/>
      <c r="H107" s="116"/>
    </row>
    <row r="108" spans="2:8" ht="15.75" customHeight="1" x14ac:dyDescent="0.25">
      <c r="B108" s="55" t="s">
        <v>47</v>
      </c>
      <c r="C108" s="30"/>
      <c r="D108" s="117" t="s">
        <v>46</v>
      </c>
      <c r="E108" s="118"/>
      <c r="F108" s="118"/>
      <c r="G108" s="118"/>
      <c r="H108" s="119"/>
    </row>
    <row r="109" spans="2:8" ht="21" x14ac:dyDescent="0.35">
      <c r="B109" s="59"/>
      <c r="C109" s="30"/>
      <c r="D109" s="33" t="s">
        <v>45</v>
      </c>
      <c r="E109" s="33"/>
      <c r="F109" s="37" t="s">
        <v>70</v>
      </c>
      <c r="G109" s="69" t="s">
        <v>40</v>
      </c>
      <c r="H109" s="57">
        <v>46285</v>
      </c>
    </row>
    <row r="110" spans="2:8" x14ac:dyDescent="0.25">
      <c r="B110" s="55"/>
      <c r="C110" s="30"/>
      <c r="D110" s="33" t="s">
        <v>44</v>
      </c>
      <c r="E110" s="33"/>
      <c r="F110" s="37" t="s">
        <v>70</v>
      </c>
      <c r="G110" s="69" t="s">
        <v>40</v>
      </c>
      <c r="H110" s="57">
        <v>46285</v>
      </c>
    </row>
    <row r="111" spans="2:8" x14ac:dyDescent="0.25">
      <c r="B111" s="55"/>
      <c r="C111" s="30"/>
      <c r="D111" s="33" t="s">
        <v>43</v>
      </c>
      <c r="E111" s="33"/>
      <c r="F111" s="58"/>
      <c r="G111" s="56" t="s">
        <v>40</v>
      </c>
      <c r="H111" s="57"/>
    </row>
    <row r="112" spans="2:8" x14ac:dyDescent="0.25">
      <c r="B112" s="55"/>
      <c r="C112" s="30"/>
      <c r="D112" s="33" t="s">
        <v>42</v>
      </c>
      <c r="E112" s="33"/>
      <c r="F112" s="63" t="s">
        <v>71</v>
      </c>
      <c r="G112" s="56" t="s">
        <v>40</v>
      </c>
      <c r="H112" s="57">
        <v>46280</v>
      </c>
    </row>
    <row r="113" spans="2:8" x14ac:dyDescent="0.25">
      <c r="B113" s="55"/>
      <c r="C113" s="30"/>
      <c r="D113" s="33" t="s">
        <v>41</v>
      </c>
      <c r="E113" s="33"/>
      <c r="F113" s="71"/>
      <c r="G113" s="54" t="s">
        <v>40</v>
      </c>
      <c r="H113" s="57"/>
    </row>
    <row r="114" spans="2:8" x14ac:dyDescent="0.25">
      <c r="B114" s="53" t="s">
        <v>39</v>
      </c>
      <c r="C114" s="33"/>
      <c r="D114" s="33" t="s">
        <v>38</v>
      </c>
      <c r="E114" s="33"/>
      <c r="F114" s="30" t="s">
        <v>37</v>
      </c>
      <c r="G114" s="120" t="s">
        <v>36</v>
      </c>
      <c r="H114" s="121"/>
    </row>
    <row r="115" spans="2:8" ht="15.75" thickBot="1" x14ac:dyDescent="0.3">
      <c r="B115" s="52" t="s">
        <v>35</v>
      </c>
      <c r="C115" s="51"/>
      <c r="D115" s="51" t="s">
        <v>34</v>
      </c>
      <c r="E115" s="51"/>
      <c r="F115" s="51" t="s">
        <v>33</v>
      </c>
      <c r="G115" s="50" t="s">
        <v>69</v>
      </c>
      <c r="H115" s="49"/>
    </row>
    <row r="116" spans="2:8" ht="3.75" customHeight="1" thickBot="1" x14ac:dyDescent="0.3">
      <c r="B116" s="6"/>
      <c r="H116" s="4"/>
    </row>
    <row r="117" spans="2:8" ht="39.75" thickBot="1" x14ac:dyDescent="0.3">
      <c r="B117" s="48" t="s">
        <v>32</v>
      </c>
      <c r="C117" s="46" t="s">
        <v>31</v>
      </c>
      <c r="D117" s="47" t="s">
        <v>30</v>
      </c>
      <c r="E117" s="46" t="s">
        <v>29</v>
      </c>
      <c r="F117" s="46" t="s">
        <v>28</v>
      </c>
      <c r="G117" s="46" t="s">
        <v>27</v>
      </c>
      <c r="H117" s="67" t="s">
        <v>26</v>
      </c>
    </row>
    <row r="118" spans="2:8" x14ac:dyDescent="0.25">
      <c r="B118" s="45">
        <v>1</v>
      </c>
      <c r="C118" s="72" t="s">
        <v>72</v>
      </c>
      <c r="D118" s="79">
        <v>82072000</v>
      </c>
      <c r="E118" s="43" t="s">
        <v>25</v>
      </c>
      <c r="F118" s="42">
        <v>1</v>
      </c>
      <c r="G118" s="74">
        <v>24237</v>
      </c>
      <c r="H118" s="76">
        <f>SUM(F118*G118)</f>
        <v>24237</v>
      </c>
    </row>
    <row r="119" spans="2:8" x14ac:dyDescent="0.25">
      <c r="B119" s="41"/>
      <c r="C119" s="73" t="s">
        <v>73</v>
      </c>
      <c r="D119" s="65"/>
      <c r="E119" s="43"/>
      <c r="F119" s="42"/>
      <c r="G119" s="75"/>
      <c r="H119" s="76"/>
    </row>
    <row r="120" spans="2:8" x14ac:dyDescent="0.25">
      <c r="B120" s="41">
        <v>2</v>
      </c>
      <c r="C120" s="63" t="s">
        <v>74</v>
      </c>
      <c r="D120" s="79">
        <v>82072000</v>
      </c>
      <c r="E120" s="43" t="s">
        <v>25</v>
      </c>
      <c r="F120" s="42">
        <v>1</v>
      </c>
      <c r="G120" s="75">
        <v>11600</v>
      </c>
      <c r="H120" s="76">
        <f>SUM(F120*G120)</f>
        <v>11600</v>
      </c>
    </row>
    <row r="121" spans="2:8" x14ac:dyDescent="0.25">
      <c r="B121" s="41"/>
      <c r="C121" s="77" t="s">
        <v>75</v>
      </c>
      <c r="D121" s="78"/>
      <c r="E121" s="43"/>
      <c r="F121" s="42"/>
      <c r="G121" s="75"/>
      <c r="H121" s="76"/>
    </row>
    <row r="122" spans="2:8" x14ac:dyDescent="0.25">
      <c r="B122" s="62"/>
      <c r="C122" s="63"/>
      <c r="D122" s="79"/>
      <c r="E122" s="43"/>
      <c r="F122" s="42"/>
      <c r="G122" s="75"/>
      <c r="H122" s="76"/>
    </row>
    <row r="123" spans="2:8" x14ac:dyDescent="0.25">
      <c r="B123" s="62"/>
      <c r="C123" s="77"/>
      <c r="D123" s="65"/>
      <c r="E123" s="43"/>
      <c r="F123" s="42"/>
      <c r="G123" s="75"/>
      <c r="H123" s="76"/>
    </row>
    <row r="124" spans="2:8" x14ac:dyDescent="0.25">
      <c r="B124" s="62"/>
      <c r="C124" s="63"/>
      <c r="D124" s="66"/>
      <c r="E124" s="43"/>
      <c r="F124" s="42"/>
      <c r="G124" s="75"/>
      <c r="H124" s="76"/>
    </row>
    <row r="125" spans="2:8" x14ac:dyDescent="0.25">
      <c r="B125" s="62"/>
      <c r="C125" s="80"/>
      <c r="D125" s="66"/>
      <c r="E125" s="43"/>
      <c r="F125" s="42"/>
      <c r="G125" s="75"/>
      <c r="H125" s="76"/>
    </row>
    <row r="126" spans="2:8" x14ac:dyDescent="0.25">
      <c r="B126" s="62"/>
      <c r="C126" s="63"/>
      <c r="D126" s="66"/>
      <c r="E126" s="43"/>
      <c r="F126" s="42"/>
      <c r="G126" s="75"/>
      <c r="H126" s="76"/>
    </row>
    <row r="127" spans="2:8" ht="15" customHeight="1" x14ac:dyDescent="0.25">
      <c r="B127" s="62"/>
      <c r="C127" s="64"/>
      <c r="D127" s="37"/>
      <c r="E127" s="37"/>
      <c r="F127" s="68"/>
      <c r="G127" s="75"/>
      <c r="H127" s="76"/>
    </row>
    <row r="128" spans="2:8" x14ac:dyDescent="0.25">
      <c r="B128" s="62"/>
      <c r="C128" s="63"/>
      <c r="D128" s="66"/>
      <c r="E128" s="43"/>
      <c r="F128" s="42"/>
      <c r="G128" s="75"/>
      <c r="H128" s="76"/>
    </row>
    <row r="129" spans="2:8" x14ac:dyDescent="0.25">
      <c r="B129" s="62"/>
      <c r="C129" s="64"/>
      <c r="D129" s="37"/>
      <c r="E129" s="37"/>
      <c r="F129" s="68"/>
      <c r="G129" s="75"/>
      <c r="H129" s="76"/>
    </row>
    <row r="130" spans="2:8" x14ac:dyDescent="0.25">
      <c r="B130" s="62"/>
      <c r="C130" s="70"/>
      <c r="D130" s="66"/>
      <c r="E130" s="43"/>
      <c r="F130" s="42"/>
      <c r="G130" s="44"/>
      <c r="H130" s="38"/>
    </row>
    <row r="131" spans="2:8" x14ac:dyDescent="0.25">
      <c r="B131" s="55"/>
      <c r="C131" s="64"/>
      <c r="D131" s="30"/>
      <c r="E131" s="30"/>
      <c r="F131" s="68"/>
      <c r="G131" s="39"/>
      <c r="H131" s="38"/>
    </row>
    <row r="132" spans="2:8" x14ac:dyDescent="0.25">
      <c r="B132" s="62"/>
      <c r="C132" s="63"/>
      <c r="D132" s="66"/>
      <c r="E132" s="43"/>
      <c r="F132" s="42"/>
      <c r="G132" s="39"/>
      <c r="H132" s="38"/>
    </row>
    <row r="133" spans="2:8" x14ac:dyDescent="0.25">
      <c r="B133" s="55"/>
      <c r="C133" s="64"/>
      <c r="D133" s="30"/>
      <c r="E133" s="30"/>
      <c r="F133" s="68"/>
      <c r="G133" s="39"/>
      <c r="H133" s="38"/>
    </row>
    <row r="134" spans="2:8" ht="21" x14ac:dyDescent="0.25">
      <c r="B134" s="122" t="s">
        <v>24</v>
      </c>
      <c r="C134" s="123"/>
      <c r="D134" s="124" t="s">
        <v>23</v>
      </c>
      <c r="E134" s="125"/>
      <c r="F134" s="37">
        <f>SUM(F118:F133)</f>
        <v>2</v>
      </c>
      <c r="G134" s="30"/>
      <c r="H134" s="17"/>
    </row>
    <row r="135" spans="2:8" x14ac:dyDescent="0.25">
      <c r="B135" s="36"/>
      <c r="C135" s="35"/>
      <c r="D135" s="35"/>
      <c r="E135" s="34"/>
      <c r="F135" s="33" t="s">
        <v>22</v>
      </c>
      <c r="G135" s="33"/>
      <c r="H135" s="27">
        <f>SUM(H118:H134)</f>
        <v>35837</v>
      </c>
    </row>
    <row r="136" spans="2:8" x14ac:dyDescent="0.25">
      <c r="B136" s="32" t="s">
        <v>21</v>
      </c>
      <c r="C136" s="31"/>
      <c r="E136" s="24"/>
      <c r="F136" s="30" t="s">
        <v>20</v>
      </c>
      <c r="G136" s="29">
        <v>0.09</v>
      </c>
      <c r="H136" s="27">
        <f>SUM(H135*G136)</f>
        <v>3225.33</v>
      </c>
    </row>
    <row r="137" spans="2:8" x14ac:dyDescent="0.25">
      <c r="B137" s="26" t="s">
        <v>19</v>
      </c>
      <c r="C137" s="25"/>
      <c r="E137" s="24"/>
      <c r="F137" s="30" t="s">
        <v>18</v>
      </c>
      <c r="G137" s="29">
        <v>0.09</v>
      </c>
      <c r="H137" s="27">
        <f>SUM(H135*G137)</f>
        <v>3225.33</v>
      </c>
    </row>
    <row r="138" spans="2:8" x14ac:dyDescent="0.25">
      <c r="B138" s="26" t="s">
        <v>17</v>
      </c>
      <c r="C138" s="25"/>
      <c r="E138" s="24"/>
      <c r="F138" s="30" t="s">
        <v>16</v>
      </c>
      <c r="G138" s="29">
        <v>0.18</v>
      </c>
      <c r="H138" s="28" t="s">
        <v>15</v>
      </c>
    </row>
    <row r="139" spans="2:8" x14ac:dyDescent="0.25">
      <c r="B139" s="26" t="s">
        <v>14</v>
      </c>
      <c r="C139" s="25"/>
      <c r="E139" s="24"/>
      <c r="F139" s="96" t="s">
        <v>13</v>
      </c>
      <c r="G139" s="97"/>
      <c r="H139" s="27">
        <f>SUM(H136:H138)</f>
        <v>6450.66</v>
      </c>
    </row>
    <row r="140" spans="2:8" x14ac:dyDescent="0.25">
      <c r="B140" s="26" t="s">
        <v>12</v>
      </c>
      <c r="C140" s="25"/>
      <c r="E140" s="24"/>
      <c r="F140" s="23" t="s">
        <v>11</v>
      </c>
      <c r="G140" s="23"/>
      <c r="H140" s="22">
        <f>SUM(H135+H139+H142)</f>
        <v>42288</v>
      </c>
    </row>
    <row r="141" spans="2:8" x14ac:dyDescent="0.25">
      <c r="B141" s="21"/>
      <c r="C141" s="20"/>
      <c r="D141" s="20"/>
      <c r="E141" s="19"/>
      <c r="F141" s="18" t="s">
        <v>10</v>
      </c>
      <c r="G141" s="18"/>
      <c r="H141" s="17"/>
    </row>
    <row r="142" spans="2:8" ht="32.25" customHeight="1" thickBot="1" x14ac:dyDescent="0.3">
      <c r="B142" s="126" t="s">
        <v>76</v>
      </c>
      <c r="C142" s="127"/>
      <c r="D142" s="127"/>
      <c r="E142" s="128"/>
      <c r="F142" s="129" t="s">
        <v>9</v>
      </c>
      <c r="G142" s="130"/>
      <c r="H142" s="16">
        <v>0.34</v>
      </c>
    </row>
    <row r="143" spans="2:8" x14ac:dyDescent="0.25">
      <c r="B143" s="15" t="s">
        <v>8</v>
      </c>
      <c r="C143" s="14"/>
      <c r="D143" s="14"/>
      <c r="E143" s="131" t="s">
        <v>7</v>
      </c>
      <c r="F143" s="131"/>
      <c r="G143" s="131"/>
      <c r="H143" s="132"/>
    </row>
    <row r="144" spans="2:8" ht="18.75" x14ac:dyDescent="0.3">
      <c r="B144" s="13" t="s">
        <v>6</v>
      </c>
      <c r="E144" s="133" t="s">
        <v>5</v>
      </c>
      <c r="F144" s="133"/>
      <c r="G144" s="133"/>
      <c r="H144" s="134"/>
    </row>
    <row r="145" spans="2:8" ht="18.75" x14ac:dyDescent="0.3">
      <c r="B145" s="12" t="s">
        <v>4</v>
      </c>
      <c r="C145" s="11"/>
      <c r="D145" s="10"/>
      <c r="E145" s="10"/>
      <c r="F145" s="5"/>
      <c r="G145" s="5"/>
      <c r="H145" s="4"/>
    </row>
    <row r="146" spans="2:8" x14ac:dyDescent="0.25">
      <c r="B146" s="9" t="s">
        <v>3</v>
      </c>
      <c r="C146" s="8"/>
      <c r="D146" s="8"/>
      <c r="E146" s="8"/>
      <c r="F146" s="7"/>
      <c r="G146" s="5"/>
      <c r="H146" s="4"/>
    </row>
    <row r="147" spans="2:8" x14ac:dyDescent="0.25">
      <c r="B147" s="9" t="s">
        <v>2</v>
      </c>
      <c r="C147" s="8"/>
      <c r="D147" s="8"/>
      <c r="E147" s="8"/>
      <c r="F147" s="7"/>
      <c r="G147" s="5"/>
      <c r="H147" s="4"/>
    </row>
    <row r="148" spans="2:8" x14ac:dyDescent="0.25">
      <c r="B148" s="6"/>
      <c r="F148" s="5"/>
      <c r="G148" s="5"/>
      <c r="H148" s="4"/>
    </row>
    <row r="149" spans="2:8" ht="15.75" thickBot="1" x14ac:dyDescent="0.3">
      <c r="B149" s="3" t="s">
        <v>1</v>
      </c>
      <c r="C149" s="2"/>
      <c r="D149" s="2"/>
      <c r="E149" s="2"/>
      <c r="F149" s="2"/>
      <c r="G149" s="2"/>
      <c r="H149" s="1" t="s">
        <v>0</v>
      </c>
    </row>
  </sheetData>
  <mergeCells count="48">
    <mergeCell ref="F139:G139"/>
    <mergeCell ref="B142:E142"/>
    <mergeCell ref="F142:G142"/>
    <mergeCell ref="E143:H143"/>
    <mergeCell ref="E144:H144"/>
    <mergeCell ref="B134:C134"/>
    <mergeCell ref="D134:E134"/>
    <mergeCell ref="E93:H93"/>
    <mergeCell ref="E94:H94"/>
    <mergeCell ref="B101:H101"/>
    <mergeCell ref="B102:H102"/>
    <mergeCell ref="B103:H103"/>
    <mergeCell ref="B104:H104"/>
    <mergeCell ref="B105:H105"/>
    <mergeCell ref="B106:H106"/>
    <mergeCell ref="B107:H107"/>
    <mergeCell ref="D108:H108"/>
    <mergeCell ref="G114:H114"/>
    <mergeCell ref="G64:H64"/>
    <mergeCell ref="B84:C84"/>
    <mergeCell ref="D84:E84"/>
    <mergeCell ref="F89:G89"/>
    <mergeCell ref="B92:E92"/>
    <mergeCell ref="F92:G92"/>
    <mergeCell ref="D58:H58"/>
    <mergeCell ref="B42:E42"/>
    <mergeCell ref="F42:G42"/>
    <mergeCell ref="E43:H43"/>
    <mergeCell ref="E44:H44"/>
    <mergeCell ref="B51:H51"/>
    <mergeCell ref="B52:H52"/>
    <mergeCell ref="B53:H53"/>
    <mergeCell ref="B54:H54"/>
    <mergeCell ref="B55:H55"/>
    <mergeCell ref="B56:H56"/>
    <mergeCell ref="B57:H57"/>
    <mergeCell ref="F39:G39"/>
    <mergeCell ref="B1:H1"/>
    <mergeCell ref="B2:H2"/>
    <mergeCell ref="B3:H3"/>
    <mergeCell ref="B4:H4"/>
    <mergeCell ref="B5:H5"/>
    <mergeCell ref="B6:H6"/>
    <mergeCell ref="B7:H7"/>
    <mergeCell ref="D8:H8"/>
    <mergeCell ref="G14:H14"/>
    <mergeCell ref="B34:C34"/>
    <mergeCell ref="D34:E34"/>
  </mergeCells>
  <pageMargins left="0.17" right="0.17" top="0.17" bottom="0.33" header="10.9" footer="0.7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274 L</vt:lpstr>
      <vt:lpstr>292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Metalworker Fixture</dc:creator>
  <cp:lastModifiedBy>Metalworker Fixture</cp:lastModifiedBy>
  <cp:lastPrinted>2026-09-20T09:58:48Z</cp:lastPrinted>
  <dcterms:created xsi:type="dcterms:W3CDTF">2015-06-05T18:17:20Z</dcterms:created>
  <dcterms:modified xsi:type="dcterms:W3CDTF">2026-09-20T13:11:54Z</dcterms:modified>
</cp:coreProperties>
</file>